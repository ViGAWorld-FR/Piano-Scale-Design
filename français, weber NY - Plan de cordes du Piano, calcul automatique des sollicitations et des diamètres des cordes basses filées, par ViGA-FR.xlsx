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de cordes et filage" sheetId="1" state="visible" r:id="rId3"/>
    <sheet name="Graphiques" sheetId="2" state="visible" r:id="rId4"/>
    <sheet name="Paramètres" sheetId="3" state="visible" r:id="rId5"/>
    <sheet name="Charge de rupture par diamètre" sheetId="4" state="visible" r:id="rId6"/>
    <sheet name="LISMOI" sheetId="5" state="visible" r:id="rId7"/>
  </sheets>
  <definedNames>
    <definedName function="false" hidden="false" localSheetId="0" name="_xlnm.Print_Area" vbProcedure="false">'Plan de cordes et filage'!$A$1:$P$115</definedName>
  </definedName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Vincent GACOUGNOLLE</author>
  </authors>
  <commentList>
    <comment ref="AI9" authorId="0">
      <text>
        <r>
          <rPr>
            <sz val="10"/>
            <rFont val="Arial"/>
            <family val="2"/>
          </rPr>
          <t xml:space="preserve">Boucle itérative convergente dans les aigues et divergente dans les basses car si la frq diminue la tension diminue et le coef B augmente
</t>
        </r>
      </text>
    </comment>
  </commentList>
</comments>
</file>

<file path=xl/sharedStrings.xml><?xml version="1.0" encoding="utf-8"?>
<sst xmlns="http://schemas.openxmlformats.org/spreadsheetml/2006/main" count="395" uniqueCount="171">
  <si>
    <t xml:space="preserve">Plan de cordes du Piano, calcul automatique des sollicitations et des diamètres des cordes basses filées, par Ing. ViGA-FR</t>
  </si>
  <si>
    <t xml:space="preserve">Piano : </t>
  </si>
  <si>
    <t xml:space="preserve">The Weber AEOLIAN Company New York - Duo Art, cadre 5F, FR6’ 183cm (équivalent 170cm) SN=73211 1918</t>
  </si>
  <si>
    <t xml:space="preserve">Calcul des cordes filées</t>
  </si>
  <si>
    <t xml:space="preserve">(marque modèle longueur numéro-de-série année-de-fabrication)</t>
  </si>
  <si>
    <t xml:space="preserve">Hz</t>
  </si>
  <si>
    <t xml:space="preserve">Diapason LA3/A4</t>
  </si>
  <si>
    <t xml:space="preserve">calcule selon la charge de rupture (CR) mesurée voir tableau de CR</t>
  </si>
  <si>
    <t xml:space="preserve">1 = calcule en tenant compte de l’augmentation de fréquence des aiguës pour contrer l’inharmonicité</t>
  </si>
  <si>
    <t xml:space="preserve">coef intervalle tempéré</t>
  </si>
  <si>
    <t xml:space="preserve">tension moyenne par corde</t>
  </si>
  <si>
    <t xml:space="preserve">tension totale en Newtons</t>
  </si>
  <si>
    <t xml:space="preserve">Trait simple</t>
  </si>
  <si>
    <t xml:space="preserve">Trait double d2=2*d1</t>
  </si>
  <si>
    <t xml:space="preserve">inverse</t>
  </si>
  <si>
    <t xml:space="preserve">fréquence réelle octave juste</t>
  </si>
  <si>
    <t xml:space="preserve">Fréquence (Hz)</t>
  </si>
  <si>
    <t xml:space="preserve">Nom note</t>
  </si>
  <si>
    <t xml:space="preserve">Note</t>
  </si>
  <si>
    <t xml:space="preserve">Longueur Vibrante (mm)</t>
  </si>
  <si>
    <t xml:space="preserve">Ø âme (mm)</t>
  </si>
  <si>
    <t xml:space="preserve">Ø total (mm)</t>
  </si>
  <si>
    <t xml:space="preserve">Nb cordes</t>
  </si>
  <si>
    <t xml:space="preserve">acier type</t>
  </si>
  <si>
    <t xml:space="preserve">Sollicitation corde</t>
  </si>
  <si>
    <t xml:space="preserve">Alerte Sollicitation</t>
  </si>
  <si>
    <t xml:space="preserve">Variation de masse note</t>
  </si>
  <si>
    <t xml:space="preserve">coefficient d'inharmonicité B âme</t>
  </si>
  <si>
    <t xml:space="preserve">Inharmonicité âme octave, % 1/2 ton</t>
  </si>
  <si>
    <t xml:space="preserve">Inharmonicité âme octave %</t>
  </si>
  <si>
    <t xml:space="preserve">Tension corde en Newtons</t>
  </si>
  <si>
    <t xml:space="preserve">Tension note en Newtons</t>
  </si>
  <si>
    <t xml:space="preserve">Sollicitation voulue</t>
  </si>
  <si>
    <t xml:space="preserve">Tension corde voulue</t>
  </si>
  <si>
    <t xml:space="preserve">Ø total arrondi</t>
  </si>
  <si>
    <t xml:space="preserve">Ø en place (mm)</t>
  </si>
  <si>
    <t xml:space="preserve">Ø avant déformation (mm)</t>
  </si>
  <si>
    <t xml:space="preserve">Alerte fil de trait trop fin</t>
  </si>
  <si>
    <t xml:space="preserve">Ø en place d1 (mm)</t>
  </si>
  <si>
    <t xml:space="preserve">Ø d1 avant déformation (mm)</t>
  </si>
  <si>
    <t xml:space="preserve">Ø d2 avant déformation (mm)</t>
  </si>
  <si>
    <t xml:space="preserve">Fabricant corde acier</t>
  </si>
  <si>
    <t xml:space="preserve">Fréquence parfaite (Hz)</t>
  </si>
  <si>
    <t xml:space="preserve">F</t>
  </si>
  <si>
    <t xml:space="preserve">fréquence aiguë modifié par inharmonicité</t>
  </si>
  <si>
    <t xml:space="preserve">fréquence modifié par inharmonicité</t>
  </si>
  <si>
    <t xml:space="preserve">Diamètre total (mm)</t>
  </si>
  <si>
    <t xml:space="preserve">Tension Statique corde en Newtons</t>
  </si>
  <si>
    <t xml:space="preserve">Tension Statique note en Newtons</t>
  </si>
  <si>
    <t xml:space="preserve">Sollicitation statique âme seule</t>
  </si>
  <si>
    <t xml:space="preserve">Diamètre du fil de trait cuivre avant déformation (mm)</t>
  </si>
  <si>
    <t xml:space="preserve">S min</t>
  </si>
  <si>
    <t xml:space="preserve">S max</t>
  </si>
  <si>
    <t xml:space="preserve">Ctrl tension entre limites</t>
  </si>
  <si>
    <t xml:space="preserve">index</t>
  </si>
  <si>
    <t xml:space="preserve">cherche CR réelle</t>
  </si>
  <si>
    <t xml:space="preserve">CRP réf</t>
  </si>
  <si>
    <t xml:space="preserve">Tension dynamique corde filée</t>
  </si>
  <si>
    <t xml:space="preserve">Diamètre fil de trait bi d1 avant déformation (mm)</t>
  </si>
  <si>
    <t xml:space="preserve">diamètre corde pleine équivalente corde filée</t>
  </si>
  <si>
    <t xml:space="preserve">tension statique voulue</t>
  </si>
  <si>
    <t xml:space="preserve">diamètre acier idéal</t>
  </si>
  <si>
    <t xml:space="preserve">coef masseV</t>
  </si>
  <si>
    <t xml:space="preserve">Var masseV %</t>
  </si>
  <si>
    <t xml:space="preserve">Inharmonicité âme octave, Jean Louchet</t>
  </si>
  <si>
    <t xml:space="preserve">H</t>
  </si>
  <si>
    <t xml:space="preserve">Inharmonicité âme partiel H</t>
  </si>
  <si>
    <r>
      <rPr>
        <sz val="10"/>
        <rFont val="Arial"/>
        <family val="2"/>
        <charset val="1"/>
      </rPr>
      <t xml:space="preserve">Inharmonicité corde filée </t>
    </r>
    <r>
      <rPr>
        <sz val="12"/>
        <rFont val="Times;Times New Roman"/>
        <family val="0"/>
        <charset val="1"/>
      </rPr>
      <t xml:space="preserve">Fletcher</t>
    </r>
  </si>
  <si>
    <t xml:space="preserve">coefficient d'inharmonicité B</t>
  </si>
  <si>
    <t xml:space="preserve">fréq longitudinale H1</t>
  </si>
  <si>
    <t xml:space="preserve">min graphiques</t>
  </si>
  <si>
    <t xml:space="preserve">limite</t>
  </si>
  <si>
    <t xml:space="preserve">Max graphiques</t>
  </si>
  <si>
    <t xml:space="preserve">SP-M</t>
  </si>
  <si>
    <t xml:space="preserve">SP-1</t>
  </si>
  <si>
    <t xml:space="preserve">SP-0</t>
  </si>
  <si>
    <t xml:space="preserve">--------</t>
  </si>
  <si>
    <t xml:space="preserve">source : </t>
  </si>
  <si>
    <t xml:space="preserve">https://www.stephenpaulello.com/sites/default/files/caracteristiques_des_5_types_de_cordes_paulello.pdf</t>
  </si>
  <si>
    <t xml:space="preserve">source formules :</t>
  </si>
  <si>
    <t xml:space="preserve">Mr Jean Louchet, livre « Le Guide du cordage » </t>
  </si>
  <si>
    <t xml:space="preserve">mm</t>
  </si>
  <si>
    <t xml:space="preserve">diamètre minimum du fil des cordes basses utilisable par le fileur</t>
  </si>
  <si>
    <t xml:space="preserve">g/L</t>
  </si>
  <si>
    <t xml:space="preserve">acier</t>
  </si>
  <si>
    <t xml:space="preserve">masse volumique âme</t>
  </si>
  <si>
    <t xml:space="preserve">cuivre</t>
  </si>
  <si>
    <t xml:space="preserve">masse volumique filage</t>
  </si>
  <si>
    <t xml:space="preserve">charge de rupture pratique (CRP) / CRM</t>
  </si>
  <si>
    <t xml:space="preserve">limite élastique / CRP</t>
  </si>
  <si>
    <t xml:space="preserve">limite élastique / CRM</t>
  </si>
  <si>
    <t xml:space="preserve">Gpa</t>
  </si>
  <si>
    <t xml:space="preserve">Module de Young</t>
  </si>
  <si>
    <t xml:space="preserve">Résistance du matériau à la traction âme (Rm en N/mm²) acier type</t>
  </si>
  <si>
    <t xml:space="preserve">masse volumique g/L</t>
  </si>
  <si>
    <t xml:space="preserve">XM</t>
  </si>
  <si>
    <t xml:space="preserve">M</t>
  </si>
  <si>
    <t xml:space="preserve">Selon Paulello (NDR:producteur de cordes acier et facteur de pianos), la sollicitation idéale (NDR:relativement à la CRP) se répartit ainsi selon les types de cordes et les notes</t>
  </si>
  <si>
    <t xml:space="preserve">50 % à 55 % pour les cordes filées</t>
  </si>
  <si>
    <t xml:space="preserve">50 % première corde blanche jusqu’au LA3, note 49</t>
  </si>
  <si>
    <t xml:space="preserve">65 % jusqu’au LA4, note 61</t>
  </si>
  <si>
    <t xml:space="preserve">70 % jusqu’au LA5, note 73</t>
  </si>
  <si>
    <t xml:space="preserve">75 % jusqu’au LA6, note 85</t>
  </si>
  <si>
    <t xml:space="preserve">80 % jusqu’au FA7, note 93</t>
  </si>
  <si>
    <t xml:space="preserve">note max</t>
  </si>
  <si>
    <t xml:space="preserve">à partir de</t>
  </si>
  <si>
    <t xml:space="preserve">min</t>
  </si>
  <si>
    <t xml:space="preserve">idéal</t>
  </si>
  <si>
    <t xml:space="preserve">max</t>
  </si>
  <si>
    <t xml:space="preserve">cordes filées</t>
  </si>
  <si>
    <t xml:space="preserve">num</t>
  </si>
  <si>
    <t xml:space="preserve">nom des notes</t>
  </si>
  <si>
    <t xml:space="preserve">Do</t>
  </si>
  <si>
    <t xml:space="preserve">C</t>
  </si>
  <si>
    <t xml:space="preserve">Do#</t>
  </si>
  <si>
    <t xml:space="preserve">C#</t>
  </si>
  <si>
    <t xml:space="preserve">Ré</t>
  </si>
  <si>
    <t xml:space="preserve">D</t>
  </si>
  <si>
    <t xml:space="preserve">Ré#</t>
  </si>
  <si>
    <t xml:space="preserve">D#</t>
  </si>
  <si>
    <t xml:space="preserve">Mi</t>
  </si>
  <si>
    <t xml:space="preserve">E</t>
  </si>
  <si>
    <t xml:space="preserve">Fa</t>
  </si>
  <si>
    <t xml:space="preserve">Fa#</t>
  </si>
  <si>
    <t xml:space="preserve">F#</t>
  </si>
  <si>
    <t xml:space="preserve">Sol</t>
  </si>
  <si>
    <t xml:space="preserve">G</t>
  </si>
  <si>
    <t xml:space="preserve">Sol#</t>
  </si>
  <si>
    <t xml:space="preserve">G#</t>
  </si>
  <si>
    <t xml:space="preserve">La</t>
  </si>
  <si>
    <t xml:space="preserve">A</t>
  </si>
  <si>
    <t xml:space="preserve">La#</t>
  </si>
  <si>
    <t xml:space="preserve">A#</t>
  </si>
  <si>
    <t xml:space="preserve">Si</t>
  </si>
  <si>
    <t xml:space="preserve">B</t>
  </si>
  <si>
    <t xml:space="preserve">numéro de note du premier Do=Do1=C2</t>
  </si>
  <si>
    <t xml:space="preserve">France</t>
  </si>
  <si>
    <t xml:space="preserve">English</t>
  </si>
  <si>
    <t xml:space="preserve">Stephen Paulello France</t>
  </si>
  <si>
    <t xml:space="preserve">Röslau GmbH</t>
  </si>
  <si>
    <t xml:space="preserve">roeslau-draht.com</t>
  </si>
  <si>
    <t xml:space="preserve">SP-XM</t>
  </si>
  <si>
    <t xml:space="preserve">Xtra Moderne : acier de résistance supérieure pour les cordes aiguës cassantes</t>
  </si>
  <si>
    <t xml:space="preserve">Moderne : acier moderne standard</t>
  </si>
  <si>
    <t xml:space="preserve">0 : acier Firminy 1880</t>
  </si>
  <si>
    <t xml:space="preserve">1 : acier faible</t>
  </si>
  <si>
    <t xml:space="preserve">SP-2</t>
  </si>
  <si>
    <t xml:space="preserve">2 : acier uniquement pour les pianos antérieurs à 1880</t>
  </si>
  <si>
    <t xml:space="preserve">ROS</t>
  </si>
  <si>
    <t xml:space="preserve">Röslau</t>
  </si>
  <si>
    <t xml:space="preserve">ROS-H</t>
  </si>
  <si>
    <t xml:space="preserve">Röslau Hexagonal</t>
  </si>
  <si>
    <t xml:space="preserve">-----</t>
  </si>
  <si>
    <t xml:space="preserve">index tableau charge de rupture réelle</t>
  </si>
  <si>
    <t xml:space="preserve">Diameter in mm</t>
  </si>
  <si>
    <t xml:space="preserve">Strings round/hexagon min. tensile strength in N/mm²</t>
  </si>
  <si>
    <t xml:space="preserve">Strings round min. load capacity in N</t>
  </si>
  <si>
    <t xml:space="preserve">Strings hexagon min. load capacity in N</t>
  </si>
  <si>
    <t xml:space="preserve">SP-2 réel</t>
  </si>
  <si>
    <t xml:space="preserve">Num</t>
  </si>
  <si>
    <t xml:space="preserve">Diam</t>
  </si>
  <si>
    <t xml:space="preserve">Rm</t>
  </si>
  <si>
    <t xml:space="preserve">N°(Newton)</t>
  </si>
  <si>
    <t xml:space="preserve">Bonjour,</t>
  </si>
  <si>
    <t xml:space="preserve">Je mets à votre disposition mon outil pour calculer et lisser les plans de cordes, la charge du cadre, les diamètres de filage des cordes basses, les risques d'inharmonicité etc. </t>
  </si>
  <si>
    <t xml:space="preserve">Il est basé sur les données techniques des fabricants de cordes acier Paulello et Röslau. Il peut être paramétré selon d'autres fabricants, à vous de me trouver les mesures techniques pour les y intégrer.</t>
  </si>
  <si>
    <t xml:space="preserve">Concernant l'inharmonicité, les formules existantes ne sont pas garanties proches de la réalité, mais elles donnent une idée du risque. Bien sûr, cela n'est pas applicable aux cordes basses filées.</t>
  </si>
  <si>
    <t xml:space="preserve">Il est entièrement paramétrable, les formules de calcul sont protégées pour éviter la propagation de copies de mon outil avec des modifications le rendant dangereux pour les pianos.</t>
  </si>
  <si>
    <t xml:space="preserve">Inutile de se battre sur des centièmes de pourcentage, de toute façon tout est basé sur la supposition empirique et approximative que les cordes acier sonnent mieux en limite d'élasticité et que celle-ci est à environ 60% de la limite de rupture mesurée, que la limite de déformation est d'environ 80% ou parfois 75% et qu'il faut encore soustraire environ 20% pour tenir compte des contraintes de frottement de la corde sur tout son chemin ce qui donne 80% de 75% de 100%=60%. </t>
  </si>
  <si>
    <t xml:space="preserve">Ainsi, dans le calculateur qui fonctionne selon le mode de calcul proposé par Paulello, la valeur de 80% de sollicitation sera la limite pour la partie vibrante d'une corde acier standard ou 85% pour l'acier spécial aiguë, sachant que lors de l'accordage le segment de corde côté cheville risque d'atteindre les 100% lors de la traction d'accordage.</t>
  </si>
  <si>
    <t xml:space="preserve">Après avoir fait votre recordage, pensez à imprimer le plan de cordes avec les références et à dater ce document pour le laisser dans le piano.</t>
  </si>
</sst>
</file>

<file path=xl/styles.xml><?xml version="1.0" encoding="utf-8"?>
<styleSheet xmlns="http://schemas.openxmlformats.org/spreadsheetml/2006/main">
  <numFmts count="9">
    <numFmt numFmtId="164" formatCode="General"/>
    <numFmt numFmtId="165" formatCode="0.000"/>
    <numFmt numFmtId="166" formatCode="0"/>
    <numFmt numFmtId="167" formatCode="0\ %"/>
    <numFmt numFmtId="168" formatCode="0.00\ %"/>
    <numFmt numFmtId="169" formatCode="0.0"/>
    <numFmt numFmtId="170" formatCode="0.000000"/>
    <numFmt numFmtId="171" formatCode="0.000\ %"/>
    <numFmt numFmtId="172" formatCode="0.00"/>
  </numFmts>
  <fonts count="21">
    <font>
      <sz val="10"/>
      <name val="Arial"/>
      <family val="2"/>
      <charset val="1"/>
    </font>
    <font>
      <sz val="10"/>
      <name val="Arial"/>
      <family val="0"/>
    </font>
    <font>
      <sz val="10"/>
      <name val="Arial"/>
      <family val="0"/>
    </font>
    <font>
      <sz val="10"/>
      <name val="Arial"/>
      <family val="0"/>
    </font>
    <font>
      <sz val="10"/>
      <color rgb="FFFF3333"/>
      <name val="Arial"/>
      <family val="2"/>
      <charset val="1"/>
    </font>
    <font>
      <sz val="10"/>
      <color theme="1"/>
      <name val="Arial"/>
      <family val="2"/>
      <charset val="1"/>
    </font>
    <font>
      <strike val="true"/>
      <sz val="10"/>
      <name val="Arial"/>
      <family val="2"/>
      <charset val="1"/>
    </font>
    <font>
      <b val="true"/>
      <sz val="10"/>
      <name val="Arial"/>
      <family val="2"/>
      <charset val="1"/>
    </font>
    <font>
      <b val="true"/>
      <strike val="true"/>
      <sz val="10"/>
      <name val="Arial"/>
      <family val="2"/>
      <charset val="1"/>
    </font>
    <font>
      <b val="true"/>
      <sz val="10"/>
      <color rgb="FFFF0000"/>
      <name val="Arial"/>
      <family val="2"/>
      <charset val="1"/>
    </font>
    <font>
      <sz val="10"/>
      <color rgb="FF4700B8"/>
      <name val="Arial"/>
      <family val="2"/>
      <charset val="1"/>
    </font>
    <font>
      <sz val="10"/>
      <color rgb="FF579D1C"/>
      <name val="Arial"/>
      <family val="2"/>
      <charset val="1"/>
    </font>
    <font>
      <b val="true"/>
      <sz val="10"/>
      <color rgb="FFC9211E"/>
      <name val="Arial"/>
      <family val="2"/>
      <charset val="1"/>
    </font>
    <font>
      <sz val="12"/>
      <name val="Times;Times New Roman"/>
      <family val="0"/>
      <charset val="1"/>
    </font>
    <font>
      <sz val="10"/>
      <color rgb="FFC9211E"/>
      <name val="Arial"/>
      <family val="2"/>
      <charset val="1"/>
    </font>
    <font>
      <sz val="10"/>
      <color rgb="FFFF0000"/>
      <name val="Arial"/>
      <family val="2"/>
      <charset val="1"/>
    </font>
    <font>
      <b val="true"/>
      <i val="true"/>
      <strike val="true"/>
      <sz val="10"/>
      <name val="Arial"/>
      <family val="2"/>
      <charset val="1"/>
    </font>
    <font>
      <sz val="10"/>
      <name val="Arial"/>
      <family val="2"/>
    </font>
    <font>
      <sz val="10"/>
      <color rgb="FF000000"/>
      <name val="Arial"/>
      <family val="2"/>
    </font>
    <font>
      <strike val="true"/>
      <sz val="10"/>
      <color theme="1"/>
      <name val="Arial"/>
      <family val="2"/>
      <charset val="1"/>
    </font>
    <font>
      <i val="true"/>
      <sz val="10"/>
      <name val="Arial"/>
      <family val="2"/>
      <charset val="1"/>
    </font>
  </fonts>
  <fills count="3">
    <fill>
      <patternFill patternType="none"/>
    </fill>
    <fill>
      <patternFill patternType="gray125"/>
    </fill>
    <fill>
      <patternFill patternType="solid">
        <fgColor rgb="FFC0C0C0"/>
        <bgColor rgb="FFB3B3B3"/>
      </patternFill>
    </fill>
  </fills>
  <borders count="2">
    <border diagonalUp="false" diagonalDown="false">
      <left/>
      <right/>
      <top/>
      <bottom/>
      <diagonal/>
    </border>
    <border diagonalUp="false" diagonalDown="false">
      <left style="medium">
        <color rgb="FF333333"/>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true" hidden="true"/>
    </xf>
    <xf numFmtId="165" fontId="0" fillId="0" borderId="0" xfId="0" applyFont="true" applyBorder="false" applyAlignment="true" applyProtection="true">
      <alignment horizontal="general" vertical="bottom" textRotation="0" wrapText="false" indent="0" shrinkToFit="false"/>
      <protection locked="true" hidden="true"/>
    </xf>
    <xf numFmtId="165" fontId="6" fillId="0" borderId="0" xfId="0" applyFont="true" applyBorder="false" applyAlignment="true" applyProtection="true">
      <alignment horizontal="general" vertical="bottom" textRotation="0" wrapText="false" indent="0" shrinkToFit="false"/>
      <protection locked="true" hidden="true"/>
    </xf>
    <xf numFmtId="164" fontId="5" fillId="0" borderId="0" xfId="0" applyFont="true" applyBorder="false" applyAlignment="true" applyProtection="true">
      <alignment horizontal="general" vertical="bottom" textRotation="0" wrapText="false" indent="0" shrinkToFit="false"/>
      <protection locked="true" hidden="true"/>
    </xf>
    <xf numFmtId="164" fontId="0" fillId="2" borderId="0" xfId="0" applyFont="true" applyBorder="false" applyAlignment="true" applyProtection="true">
      <alignment horizontal="general" vertical="bottom" textRotation="0" wrapText="false" indent="0" shrinkToFit="false"/>
      <protection locked="true" hidden="true"/>
    </xf>
    <xf numFmtId="166" fontId="0" fillId="2" borderId="0" xfId="0" applyFont="true" applyBorder="false" applyAlignment="true" applyProtection="true">
      <alignment horizontal="general" vertical="bottom" textRotation="0" wrapText="false" indent="0" shrinkToFit="false"/>
      <protection locked="true" hidden="true"/>
    </xf>
    <xf numFmtId="165" fontId="0" fillId="2" borderId="0" xfId="0" applyFont="true" applyBorder="false" applyAlignment="tru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6" fillId="2" borderId="0" xfId="0" applyFont="true" applyBorder="false" applyAlignment="true" applyProtection="true">
      <alignment horizontal="general" vertical="bottom" textRotation="0" wrapText="false" indent="0" shrinkToFit="false"/>
      <protection locked="true" hidden="true"/>
    </xf>
    <xf numFmtId="164" fontId="7" fillId="2" borderId="0" xfId="0" applyFont="true" applyBorder="false" applyAlignment="true" applyProtection="true">
      <alignment horizontal="center" vertical="bottom" textRotation="0" wrapText="false" indent="0" shrinkToFit="false"/>
      <protection locked="true" hidden="true"/>
    </xf>
    <xf numFmtId="164" fontId="5" fillId="2" borderId="0" xfId="0" applyFont="true" applyBorder="false" applyAlignment="true" applyProtection="true">
      <alignment horizontal="general" vertical="bottom" textRotation="0" wrapText="false" indent="0" shrinkToFit="false"/>
      <protection locked="true" hidden="true"/>
    </xf>
    <xf numFmtId="166" fontId="5" fillId="2" borderId="0" xfId="0" applyFont="true" applyBorder="false" applyAlignment="true" applyProtection="true">
      <alignment horizontal="general" vertical="bottom" textRotation="0" wrapText="false" indent="0" shrinkToFit="false"/>
      <protection locked="true" hidden="true"/>
    </xf>
    <xf numFmtId="165" fontId="5" fillId="2" borderId="0" xfId="0" applyFont="true" applyBorder="false" applyAlignment="true" applyProtection="true">
      <alignment horizontal="general" vertical="bottom" textRotation="0" wrapText="false" indent="0" shrinkToFit="false"/>
      <protection locked="true" hidden="true"/>
    </xf>
    <xf numFmtId="164" fontId="7" fillId="0" borderId="0" xfId="0" applyFont="true" applyBorder="false" applyAlignment="true" applyProtection="true">
      <alignment horizontal="left"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0" fillId="2" borderId="1" xfId="0" applyFont="true" applyBorder="true" applyAlignment="true" applyProtection="true">
      <alignment horizontal="general" vertical="bottom" textRotation="0" wrapText="false" indent="0" shrinkToFit="false"/>
      <protection locked="false" hidden="false"/>
    </xf>
    <xf numFmtId="166" fontId="0" fillId="2" borderId="0" xfId="0" applyFont="true" applyBorder="false" applyAlignment="true" applyProtection="true">
      <alignment horizontal="general" vertical="bottom" textRotation="0" wrapText="false" indent="0" shrinkToFit="false"/>
      <protection locked="false" hidden="false"/>
    </xf>
    <xf numFmtId="165" fontId="7" fillId="2" borderId="0" xfId="0" applyFont="true" applyBorder="false" applyAlignment="true" applyProtection="true">
      <alignment horizontal="center" vertical="bottom" textRotation="0" wrapText="false" indent="0" shrinkToFit="false"/>
      <protection locked="false" hidden="false"/>
    </xf>
    <xf numFmtId="165" fontId="7" fillId="2"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5" fontId="5" fillId="2" borderId="0" xfId="0" applyFont="true" applyBorder="false" applyAlignment="true" applyProtection="true">
      <alignment horizontal="general" vertical="bottom" textRotation="0" wrapText="false" indent="0" shrinkToFit="false"/>
      <protection locked="true" hidden="false"/>
    </xf>
    <xf numFmtId="165" fontId="7" fillId="2" borderId="0" xfId="0" applyFont="true" applyBorder="false" applyAlignment="true" applyProtection="true">
      <alignment horizontal="center" vertical="bottom" textRotation="0" wrapText="false" indent="0" shrinkToFit="false"/>
      <protection locked="true" hidden="true"/>
    </xf>
    <xf numFmtId="165" fontId="8" fillId="2" borderId="0" xfId="0" applyFont="true" applyBorder="false" applyAlignment="true" applyProtection="true">
      <alignment horizontal="center" vertical="bottom" textRotation="0" wrapText="false" indent="0" shrinkToFit="false"/>
      <protection locked="true" hidden="true"/>
    </xf>
    <xf numFmtId="165" fontId="0"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true"/>
    </xf>
    <xf numFmtId="167"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false" hidden="false"/>
    </xf>
    <xf numFmtId="165" fontId="10" fillId="0" borderId="0" xfId="0" applyFont="true" applyBorder="false" applyAlignment="true" applyProtection="true">
      <alignment horizontal="left"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false" hidden="false"/>
    </xf>
    <xf numFmtId="165" fontId="11" fillId="0" borderId="0" xfId="0" applyFont="true" applyBorder="false" applyAlignment="true" applyProtection="true">
      <alignment horizontal="general" vertical="bottom" textRotation="0" wrapText="false" indent="0" shrinkToFit="false"/>
      <protection locked="false" hidden="false"/>
    </xf>
    <xf numFmtId="164" fontId="11" fillId="0" borderId="0" xfId="0" applyFont="true" applyBorder="false" applyAlignment="true" applyProtection="true">
      <alignment horizontal="left" vertical="bottom" textRotation="0" wrapText="false" indent="0" shrinkToFit="false"/>
      <protection locked="false" hidden="false"/>
    </xf>
    <xf numFmtId="165" fontId="11" fillId="0" borderId="0" xfId="0" applyFont="true" applyBorder="false" applyAlignment="true" applyProtection="true">
      <alignment horizontal="left" vertical="bottom" textRotation="0" wrapText="false" indent="0" shrinkToFit="false"/>
      <protection locked="false" hidden="false"/>
    </xf>
    <xf numFmtId="164" fontId="0" fillId="2" borderId="0" xfId="0" applyFont="true" applyBorder="false" applyAlignment="true" applyProtection="true">
      <alignment horizontal="right" vertical="bottom" textRotation="0" wrapText="false" indent="0" shrinkToFit="false"/>
      <protection locked="true" hidden="true"/>
    </xf>
    <xf numFmtId="165" fontId="0" fillId="2" borderId="0" xfId="0" applyFont="true" applyBorder="false" applyAlignment="true" applyProtection="true">
      <alignment horizontal="right" vertical="bottom" textRotation="0" wrapText="false" indent="0" shrinkToFit="false"/>
      <protection locked="true" hidden="true"/>
    </xf>
    <xf numFmtId="165" fontId="6" fillId="2" borderId="0" xfId="0" applyFont="true" applyBorder="false" applyAlignment="true" applyProtection="true">
      <alignment horizontal="right" vertical="bottom" textRotation="0" wrapText="false" indent="0" shrinkToFit="false"/>
      <protection locked="true" hidden="true"/>
    </xf>
    <xf numFmtId="164" fontId="0" fillId="0" borderId="0" xfId="0" applyFont="true" applyBorder="false" applyAlignment="true" applyProtection="true">
      <alignment horizontal="center" vertical="bottom" textRotation="0" wrapText="true" indent="0" shrinkToFit="false"/>
      <protection locked="true" hidden="true"/>
    </xf>
    <xf numFmtId="164" fontId="0" fillId="0" borderId="0" xfId="0" applyFont="true" applyBorder="false" applyAlignment="true" applyProtection="true">
      <alignment horizontal="center" vertical="bottom" textRotation="0" wrapText="true" indent="0" shrinkToFit="false"/>
      <protection locked="true" hidden="false"/>
    </xf>
    <xf numFmtId="165" fontId="0" fillId="0" borderId="0" xfId="0" applyFont="true" applyBorder="fals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6" fontId="0" fillId="0" borderId="0" xfId="0" applyFont="true" applyBorder="false" applyAlignment="true" applyProtection="true">
      <alignment horizontal="center" vertical="bottom" textRotation="0" wrapText="true" indent="0" shrinkToFit="false"/>
      <protection locked="true" hidden="false"/>
    </xf>
    <xf numFmtId="165" fontId="0" fillId="0" borderId="0" xfId="0" applyFont="true" applyBorder="false" applyAlignment="true" applyProtection="true">
      <alignment horizontal="center" vertical="bottom" textRotation="0" wrapText="true" indent="0" shrinkToFit="false"/>
      <protection locked="true" hidden="true"/>
    </xf>
    <xf numFmtId="165" fontId="10" fillId="0" borderId="0" xfId="0" applyFont="true" applyBorder="false" applyAlignment="true" applyProtection="true">
      <alignment horizontal="center" vertical="bottom" textRotation="0" wrapText="true" indent="0" shrinkToFit="false"/>
      <protection locked="true" hidden="true"/>
    </xf>
    <xf numFmtId="165" fontId="11" fillId="0" borderId="0" xfId="0" applyFont="true" applyBorder="false" applyAlignment="true" applyProtection="true">
      <alignment horizontal="center" vertical="bottom" textRotation="0" wrapText="true" indent="0" shrinkToFit="false"/>
      <protection locked="true" hidden="true"/>
    </xf>
    <xf numFmtId="164" fontId="11" fillId="0" borderId="0" xfId="0" applyFont="true" applyBorder="false" applyAlignment="true" applyProtection="true">
      <alignment horizontal="center" vertical="bottom" textRotation="0" wrapText="true" indent="0" shrinkToFit="false"/>
      <protection locked="true" hidden="true"/>
    </xf>
    <xf numFmtId="164" fontId="0" fillId="2" borderId="0" xfId="0" applyFont="true" applyBorder="false" applyAlignment="true" applyProtection="true">
      <alignment horizontal="general" vertical="bottom" textRotation="0" wrapText="true" indent="0" shrinkToFit="false"/>
      <protection locked="true" hidden="true"/>
    </xf>
    <xf numFmtId="165" fontId="0" fillId="2" borderId="0" xfId="0" applyFont="true" applyBorder="false" applyAlignment="true" applyProtection="true">
      <alignment horizontal="general" vertical="bottom" textRotation="0" wrapText="true" indent="0" shrinkToFit="false"/>
      <protection locked="true" hidden="true"/>
    </xf>
    <xf numFmtId="165" fontId="0" fillId="2" borderId="0" xfId="0" applyFont="true" applyBorder="false" applyAlignment="true" applyProtection="true">
      <alignment horizontal="center" vertical="bottom" textRotation="0" wrapText="true" indent="0" shrinkToFit="false"/>
      <protection locked="true" hidden="true"/>
    </xf>
    <xf numFmtId="166" fontId="0" fillId="2" borderId="0" xfId="0" applyFont="true" applyBorder="false" applyAlignment="true" applyProtection="true">
      <alignment horizontal="center" vertical="bottom" textRotation="0" wrapText="true" indent="0" shrinkToFit="false"/>
      <protection locked="true" hidden="true"/>
    </xf>
    <xf numFmtId="165" fontId="6" fillId="2" borderId="0" xfId="0" applyFont="true" applyBorder="false" applyAlignment="true" applyProtection="true">
      <alignment horizontal="general" vertical="bottom" textRotation="0" wrapText="true" indent="0" shrinkToFit="false"/>
      <protection locked="true" hidden="true"/>
    </xf>
    <xf numFmtId="164" fontId="12" fillId="2" borderId="0" xfId="0" applyFont="true" applyBorder="false" applyAlignment="true" applyProtection="true">
      <alignment horizontal="general" vertical="bottom" textRotation="0" wrapText="true" indent="0" shrinkToFit="false"/>
      <protection locked="true" hidden="true"/>
    </xf>
    <xf numFmtId="164" fontId="7" fillId="2" borderId="0" xfId="0" applyFont="true" applyBorder="false" applyAlignment="true" applyProtection="true">
      <alignment horizontal="general" vertical="bottom" textRotation="0" wrapText="true" indent="0" shrinkToFit="false"/>
      <protection locked="true" hidden="true"/>
    </xf>
    <xf numFmtId="166" fontId="7" fillId="2" borderId="0" xfId="0" applyFont="true" applyBorder="false" applyAlignment="true" applyProtection="true">
      <alignment horizontal="general" vertical="bottom" textRotation="0" wrapText="true" indent="0" shrinkToFit="false"/>
      <protection locked="true" hidden="true"/>
    </xf>
    <xf numFmtId="165" fontId="7" fillId="2" borderId="0" xfId="0" applyFont="true" applyBorder="false" applyAlignment="true" applyProtection="true">
      <alignment horizontal="general" vertical="bottom" textRotation="0" wrapText="true" indent="0" shrinkToFit="false"/>
      <protection locked="true" hidden="tru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5" fontId="0" fillId="0" borderId="0" xfId="0" applyFont="true" applyBorder="false" applyAlignment="true" applyProtection="true">
      <alignment horizontal="general" vertical="bottom" textRotation="0" wrapText="true" indent="0" shrinkToFit="false"/>
      <protection locked="false" hidden="false"/>
    </xf>
    <xf numFmtId="168" fontId="0" fillId="0" borderId="0" xfId="0" applyFont="true" applyBorder="false" applyAlignment="true" applyProtection="true">
      <alignment horizontal="general" vertical="bottom" textRotation="0" wrapText="true" indent="0" shrinkToFit="false"/>
      <protection locked="false" hidden="false"/>
    </xf>
    <xf numFmtId="164" fontId="0" fillId="0" borderId="1" xfId="0" applyFont="true" applyBorder="tru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true" indent="0" shrinkToFit="false"/>
      <protection locked="false" hidden="false"/>
    </xf>
    <xf numFmtId="165" fontId="10" fillId="0" borderId="0" xfId="0" applyFont="true" applyBorder="false" applyAlignment="true" applyProtection="true">
      <alignment horizontal="general" vertical="bottom" textRotation="0" wrapText="true" indent="0" shrinkToFit="false"/>
      <protection locked="false" hidden="false"/>
    </xf>
    <xf numFmtId="165" fontId="11" fillId="0" borderId="0" xfId="0" applyFont="true" applyBorder="false" applyAlignment="true" applyProtection="true">
      <alignment horizontal="general" vertical="bottom" textRotation="0" wrapText="true" indent="0" shrinkToFit="false"/>
      <protection locked="false" hidden="false"/>
    </xf>
    <xf numFmtId="164" fontId="11" fillId="0" borderId="0" xfId="0" applyFont="true" applyBorder="false" applyAlignment="true" applyProtection="true">
      <alignment horizontal="general" vertical="bottom" textRotation="0" wrapText="true" indent="0" shrinkToFit="false"/>
      <protection locked="false" hidden="false"/>
    </xf>
    <xf numFmtId="164" fontId="0" fillId="0" borderId="0" xfId="0" applyFont="true" applyBorder="false" applyAlignment="true" applyProtection="true">
      <alignment horizontal="left" vertical="bottom" textRotation="0" wrapText="false" indent="0" shrinkToFit="false"/>
      <protection locked="true" hidden="true"/>
    </xf>
    <xf numFmtId="168"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9" fontId="0" fillId="2" borderId="0" xfId="0" applyFont="true" applyBorder="false" applyAlignment="true" applyProtection="true">
      <alignment horizontal="general" vertical="bottom" textRotation="0" wrapText="false" indent="0" shrinkToFit="false"/>
      <protection locked="true" hidden="true"/>
    </xf>
    <xf numFmtId="168" fontId="0" fillId="2" borderId="0" xfId="0" applyFont="true" applyBorder="false" applyAlignment="true" applyProtection="true">
      <alignment horizontal="general" vertical="bottom" textRotation="0" wrapText="false" indent="0" shrinkToFit="false"/>
      <protection locked="true" hidden="true"/>
    </xf>
    <xf numFmtId="168" fontId="14" fillId="2" borderId="0" xfId="0" applyFont="true" applyBorder="false" applyAlignment="true" applyProtection="true">
      <alignment horizontal="general" vertical="bottom" textRotation="0" wrapText="false" indent="0" shrinkToFit="false"/>
      <protection locked="true" hidden="true"/>
    </xf>
    <xf numFmtId="170" fontId="0" fillId="2" borderId="0" xfId="0" applyFont="true" applyBorder="false" applyAlignment="true" applyProtection="true">
      <alignment horizontal="general" vertical="bottom" textRotation="0" wrapText="false" indent="0" shrinkToFit="false"/>
      <protection locked="true" hidden="true"/>
    </xf>
    <xf numFmtId="171" fontId="0" fillId="2" borderId="0" xfId="0" applyFont="true" applyBorder="false" applyAlignment="true" applyProtection="true">
      <alignment horizontal="general" vertical="bottom" textRotation="0" wrapText="false" indent="0" shrinkToFit="false"/>
      <protection locked="true" hidden="true"/>
    </xf>
    <xf numFmtId="168" fontId="0" fillId="0" borderId="1" xfId="0" applyFont="true" applyBorder="true" applyAlignment="true" applyProtection="true">
      <alignment horizontal="general" vertical="bottom" textRotation="0" wrapText="false" indent="0" shrinkToFit="false"/>
      <protection locked="false" hidden="false"/>
    </xf>
    <xf numFmtId="172" fontId="0" fillId="2" borderId="0" xfId="0" applyFont="true" applyBorder="false" applyAlignment="true" applyProtection="true">
      <alignment horizontal="general" vertical="bottom" textRotation="0" wrapText="false" indent="0" shrinkToFit="false"/>
      <protection locked="true" hidden="true"/>
    </xf>
    <xf numFmtId="165" fontId="10" fillId="2" borderId="0" xfId="0" applyFont="true" applyBorder="false" applyAlignment="true" applyProtection="true">
      <alignment horizontal="general" vertical="bottom" textRotation="0" wrapText="false" indent="0" shrinkToFit="false"/>
      <protection locked="true" hidden="true"/>
    </xf>
    <xf numFmtId="172" fontId="15" fillId="2" borderId="0" xfId="0" applyFont="true" applyBorder="false" applyAlignment="true" applyProtection="true">
      <alignment horizontal="center" vertical="bottom" textRotation="0" wrapText="false" indent="0" shrinkToFit="false"/>
      <protection locked="true" hidden="true"/>
    </xf>
    <xf numFmtId="165" fontId="11" fillId="2" borderId="0" xfId="0" applyFont="true" applyBorder="false" applyAlignment="true" applyProtection="true">
      <alignment horizontal="general" vertical="bottom" textRotation="0" wrapText="false" indent="0" shrinkToFit="false"/>
      <protection locked="true" hidden="true"/>
    </xf>
    <xf numFmtId="165" fontId="16" fillId="2" borderId="0" xfId="0" applyFont="true" applyBorder="false" applyAlignment="true" applyProtection="true">
      <alignment horizontal="general" vertical="bottom" textRotation="0" wrapText="false" indent="0" shrinkToFit="false"/>
      <protection locked="true" hidden="tru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65" fontId="6" fillId="0" borderId="0" xfId="0" applyFont="true" applyBorder="fals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7" fontId="5" fillId="0" borderId="0" xfId="0" applyFont="true" applyBorder="false" applyAlignment="true" applyProtection="true">
      <alignment horizontal="general" vertical="bottom" textRotation="0" wrapText="false" indent="0" shrinkToFit="false"/>
      <protection locked="false" hidden="false"/>
    </xf>
    <xf numFmtId="167" fontId="0" fillId="2" borderId="0" xfId="0" applyFont="false" applyBorder="false" applyAlignment="true" applyProtection="true">
      <alignment horizontal="general" vertical="bottom" textRotation="0" wrapText="false" indent="0" shrinkToFit="false"/>
      <protection locked="true" hidden="true"/>
    </xf>
    <xf numFmtId="164" fontId="0" fillId="0" borderId="0" xfId="0" applyFont="true" applyBorder="false" applyAlignment="true" applyProtection="true">
      <alignment horizontal="left"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false" hidden="false"/>
    </xf>
    <xf numFmtId="164" fontId="6" fillId="0" borderId="0" xfId="0" applyFont="true" applyBorder="false" applyAlignment="true" applyProtection="true">
      <alignment horizontal="left" vertical="bottom" textRotation="0" wrapText="false" indent="0" shrinkToFit="false"/>
      <protection locked="fals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6" fontId="2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red" xfId="20"/>
  </cellStyles>
  <dxfs count="1">
    <dxf>
      <font>
        <color rgb="FFFF3333"/>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4700B8"/>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3333"/>
      <rgbColor rgb="FF666699"/>
      <rgbColor rgb="FFB3B3B3"/>
      <rgbColor rgb="FF004586"/>
      <rgbColor rgb="FF579D1C"/>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'Plan de cordes et filage'!$O$9</c:f>
              <c:strCache>
                <c:ptCount val="1"/>
                <c:pt idx="0">
                  <c:v>Tension corde en Newtons</c:v>
                </c:pt>
              </c:strCache>
            </c:strRef>
          </c:tx>
          <c:spPr>
            <a:solidFill>
              <a:srgbClr val="004586"/>
            </a:solidFill>
            <a:ln w="0">
              <a:noFill/>
            </a:ln>
          </c:spPr>
          <c:invertIfNegative val="0"/>
          <c:dLbls>
            <c:txPr>
              <a:bodyPr wrap="none"/>
              <a:lstStyle/>
              <a:p>
                <a:pPr>
                  <a:defRPr b="0" lang="fr-FR" sz="1000" strike="noStrike" u="non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'Plan de cordes et filage'!$C$10:$C$114</c:f>
              <c:strCache>
                <c:ptCount val="105"/>
                <c:pt idx="0">
                  <c:v>limite</c:v>
                </c:pt>
                <c:pt idx="1">
                  <c:v>limite</c:v>
                </c:pt>
                <c:pt idx="2">
                  <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pt idx="33">
                  <c:v>31</c:v>
                </c:pt>
                <c:pt idx="34">
                  <c:v>32</c:v>
                </c:pt>
                <c:pt idx="35">
                  <c:v>33</c:v>
                </c:pt>
                <c:pt idx="36">
                  <c:v>34</c:v>
                </c:pt>
                <c:pt idx="37">
                  <c:v>35</c:v>
                </c:pt>
                <c:pt idx="38">
                  <c:v>36</c:v>
                </c:pt>
                <c:pt idx="39">
                  <c:v>37</c:v>
                </c:pt>
                <c:pt idx="40">
                  <c:v>38</c:v>
                </c:pt>
                <c:pt idx="41">
                  <c:v>39</c:v>
                </c:pt>
                <c:pt idx="42">
                  <c:v>40</c:v>
                </c:pt>
                <c:pt idx="43">
                  <c:v>41</c:v>
                </c:pt>
                <c:pt idx="44">
                  <c:v>42</c:v>
                </c:pt>
                <c:pt idx="45">
                  <c:v>43</c:v>
                </c:pt>
                <c:pt idx="46">
                  <c:v>44</c:v>
                </c:pt>
                <c:pt idx="47">
                  <c:v>45</c:v>
                </c:pt>
                <c:pt idx="48">
                  <c:v>46</c:v>
                </c:pt>
                <c:pt idx="49">
                  <c:v>47</c:v>
                </c:pt>
                <c:pt idx="50">
                  <c:v>48</c:v>
                </c:pt>
                <c:pt idx="51">
                  <c:v>49</c:v>
                </c:pt>
                <c:pt idx="52">
                  <c:v>50</c:v>
                </c:pt>
                <c:pt idx="53">
                  <c:v>51</c:v>
                </c:pt>
                <c:pt idx="54">
                  <c:v>52</c:v>
                </c:pt>
                <c:pt idx="55">
                  <c:v>53</c:v>
                </c:pt>
                <c:pt idx="56">
                  <c:v>54</c:v>
                </c:pt>
                <c:pt idx="57">
                  <c:v>55</c:v>
                </c:pt>
                <c:pt idx="58">
                  <c:v>56</c:v>
                </c:pt>
                <c:pt idx="59">
                  <c:v>57</c:v>
                </c:pt>
                <c:pt idx="60">
                  <c:v>58</c:v>
                </c:pt>
                <c:pt idx="61">
                  <c:v>59</c:v>
                </c:pt>
                <c:pt idx="62">
                  <c:v>60</c:v>
                </c:pt>
                <c:pt idx="63">
                  <c:v>61</c:v>
                </c:pt>
                <c:pt idx="64">
                  <c:v>62</c:v>
                </c:pt>
                <c:pt idx="65">
                  <c:v>63</c:v>
                </c:pt>
                <c:pt idx="66">
                  <c:v>64</c:v>
                </c:pt>
                <c:pt idx="67">
                  <c:v>65</c:v>
                </c:pt>
                <c:pt idx="68">
                  <c:v>66</c:v>
                </c:pt>
                <c:pt idx="69">
                  <c:v>67</c:v>
                </c:pt>
                <c:pt idx="70">
                  <c:v>68</c:v>
                </c:pt>
                <c:pt idx="71">
                  <c:v>69</c:v>
                </c:pt>
                <c:pt idx="72">
                  <c:v>70</c:v>
                </c:pt>
                <c:pt idx="73">
                  <c:v>71</c:v>
                </c:pt>
                <c:pt idx="74">
                  <c:v>72</c:v>
                </c:pt>
                <c:pt idx="75">
                  <c:v>73</c:v>
                </c:pt>
                <c:pt idx="76">
                  <c:v>74</c:v>
                </c:pt>
                <c:pt idx="77">
                  <c:v>75</c:v>
                </c:pt>
                <c:pt idx="78">
                  <c:v>76</c:v>
                </c:pt>
                <c:pt idx="79">
                  <c:v>77</c:v>
                </c:pt>
                <c:pt idx="80">
                  <c:v>78</c:v>
                </c:pt>
                <c:pt idx="81">
                  <c:v>79</c:v>
                </c:pt>
                <c:pt idx="82">
                  <c:v>80</c:v>
                </c:pt>
                <c:pt idx="83">
                  <c:v>81</c:v>
                </c:pt>
                <c:pt idx="84">
                  <c:v>82</c:v>
                </c:pt>
                <c:pt idx="85">
                  <c:v>83</c:v>
                </c:pt>
                <c:pt idx="86">
                  <c:v>84</c:v>
                </c:pt>
                <c:pt idx="87">
                  <c:v>85</c:v>
                </c:pt>
                <c:pt idx="88">
                  <c:v>86</c:v>
                </c:pt>
                <c:pt idx="89">
                  <c:v>87</c:v>
                </c:pt>
                <c:pt idx="90">
                  <c:v>88</c:v>
                </c:pt>
                <c:pt idx="91">
                  <c:v>-</c:v>
                </c:pt>
                <c:pt idx="92">
                  <c:v>-</c:v>
                </c:pt>
                <c:pt idx="93">
                  <c:v>-</c:v>
                </c:pt>
                <c:pt idx="94">
                  <c:v>-</c:v>
                </c:pt>
                <c:pt idx="95">
                  <c:v>-</c:v>
                </c:pt>
                <c:pt idx="96">
                  <c:v>-</c:v>
                </c:pt>
                <c:pt idx="97">
                  <c:v>-</c:v>
                </c:pt>
                <c:pt idx="98">
                  <c:v>-</c:v>
                </c:pt>
                <c:pt idx="99">
                  <c:v>-</c:v>
                </c:pt>
                <c:pt idx="100">
                  <c:v>-</c:v>
                </c:pt>
                <c:pt idx="101">
                  <c:v>-</c:v>
                </c:pt>
                <c:pt idx="102">
                  <c:v>-</c:v>
                </c:pt>
                <c:pt idx="103">
                  <c:v>-</c:v>
                </c:pt>
                <c:pt idx="104">
                  <c:v>-</c:v>
                </c:pt>
              </c:strCache>
            </c:strRef>
          </c:cat>
          <c:val>
            <c:numRef>
              <c:f>'Plan de cordes et filage'!$O$10:$O$114</c:f>
              <c:numCache>
                <c:formatCode>General</c:formatCode>
                <c:ptCount val="105"/>
                <c:pt idx="0">
                  <c:v>0</c:v>
                </c:pt>
                <c:pt idx="1">
                  <c:v>1000</c:v>
                </c:pt>
                <c:pt idx="3">
                  <c:v>836.488118404158</c:v>
                </c:pt>
                <c:pt idx="4">
                  <c:v>814.129940286837</c:v>
                </c:pt>
                <c:pt idx="5">
                  <c:v>813.3212066533</c:v>
                </c:pt>
                <c:pt idx="6">
                  <c:v>839.827235232559</c:v>
                </c:pt>
                <c:pt idx="7">
                  <c:v>828.358863148675</c:v>
                </c:pt>
                <c:pt idx="8">
                  <c:v>810.741392134842</c:v>
                </c:pt>
                <c:pt idx="9">
                  <c:v>824.205050287669</c:v>
                </c:pt>
                <c:pt idx="10">
                  <c:v>832.851242314954</c:v>
                </c:pt>
                <c:pt idx="11">
                  <c:v>817.878516039859</c:v>
                </c:pt>
                <c:pt idx="12">
                  <c:v>835.094593599069</c:v>
                </c:pt>
                <c:pt idx="13">
                  <c:v>829.228676923808</c:v>
                </c:pt>
                <c:pt idx="14">
                  <c:v>815.194445314807</c:v>
                </c:pt>
                <c:pt idx="15">
                  <c:v>821.165758314848</c:v>
                </c:pt>
                <c:pt idx="16">
                  <c:v>821.952423852277</c:v>
                </c:pt>
                <c:pt idx="17">
                  <c:v>817.142944643415</c:v>
                </c:pt>
                <c:pt idx="18">
                  <c:v>837.616317877556</c:v>
                </c:pt>
                <c:pt idx="19">
                  <c:v>823.215391735875</c:v>
                </c:pt>
                <c:pt idx="20">
                  <c:v>833.080452354128</c:v>
                </c:pt>
                <c:pt idx="21">
                  <c:v>843.466611515428</c:v>
                </c:pt>
                <c:pt idx="22">
                  <c:v>844.328544168274</c:v>
                </c:pt>
                <c:pt idx="23">
                  <c:v>843.464031722844</c:v>
                </c:pt>
                <c:pt idx="24">
                  <c:v>838.987778879898</c:v>
                </c:pt>
                <c:pt idx="25">
                  <c:v>828.954924425739</c:v>
                </c:pt>
                <c:pt idx="26">
                  <c:v>813.1498148468</c:v>
                </c:pt>
                <c:pt idx="27">
                  <c:v>830.942237758936</c:v>
                </c:pt>
                <c:pt idx="28">
                  <c:v>804.204194847843</c:v>
                </c:pt>
                <c:pt idx="29">
                  <c:v>814.878989594173</c:v>
                </c:pt>
                <c:pt idx="30">
                  <c:v>812.587280593526</c:v>
                </c:pt>
                <c:pt idx="31">
                  <c:v>639.042867282361</c:v>
                </c:pt>
                <c:pt idx="32">
                  <c:v>689.174657963421</c:v>
                </c:pt>
                <c:pt idx="33">
                  <c:v>676.660741553079</c:v>
                </c:pt>
                <c:pt idx="34">
                  <c:v>725.394409943343</c:v>
                </c:pt>
                <c:pt idx="35">
                  <c:v>704.723359886926</c:v>
                </c:pt>
                <c:pt idx="36">
                  <c:v>745.374553198031</c:v>
                </c:pt>
                <c:pt idx="37">
                  <c:v>712.130774627879</c:v>
                </c:pt>
                <c:pt idx="38">
                  <c:v>734.336766265513</c:v>
                </c:pt>
                <c:pt idx="39">
                  <c:v>687.710508021907</c:v>
                </c:pt>
                <c:pt idx="40">
                  <c:v>705.429709471016</c:v>
                </c:pt>
                <c:pt idx="41">
                  <c:v>722.943102857149</c:v>
                </c:pt>
                <c:pt idx="42">
                  <c:v>746.183854835559</c:v>
                </c:pt>
                <c:pt idx="43">
                  <c:v>676.417919717768</c:v>
                </c:pt>
                <c:pt idx="44">
                  <c:v>692.22747206916</c:v>
                </c:pt>
                <c:pt idx="45">
                  <c:v>709.915948630588</c:v>
                </c:pt>
                <c:pt idx="46">
                  <c:v>717.445215031108</c:v>
                </c:pt>
                <c:pt idx="47">
                  <c:v>726.155630073696</c:v>
                </c:pt>
                <c:pt idx="48">
                  <c:v>725.187402217266</c:v>
                </c:pt>
                <c:pt idx="49">
                  <c:v>638.200070339215</c:v>
                </c:pt>
                <c:pt idx="50">
                  <c:v>651.924114465068</c:v>
                </c:pt>
                <c:pt idx="51">
                  <c:v>659.644589440001</c:v>
                </c:pt>
                <c:pt idx="52">
                  <c:v>667.097113250639</c:v>
                </c:pt>
                <c:pt idx="53">
                  <c:v>667.1585815738</c:v>
                </c:pt>
                <c:pt idx="54">
                  <c:v>670.143086069219</c:v>
                </c:pt>
                <c:pt idx="55">
                  <c:v>664.67767201053</c:v>
                </c:pt>
                <c:pt idx="56">
                  <c:v>666.732409995239</c:v>
                </c:pt>
                <c:pt idx="57">
                  <c:v>668.86276624006</c:v>
                </c:pt>
                <c:pt idx="58">
                  <c:v>671.359396395856</c:v>
                </c:pt>
                <c:pt idx="59">
                  <c:v>664.311212651479</c:v>
                </c:pt>
                <c:pt idx="60">
                  <c:v>684.243028953649</c:v>
                </c:pt>
                <c:pt idx="61">
                  <c:v>690.579171297443</c:v>
                </c:pt>
                <c:pt idx="62">
                  <c:v>692.551096711075</c:v>
                </c:pt>
                <c:pt idx="63">
                  <c:v>703.02626403361</c:v>
                </c:pt>
                <c:pt idx="64">
                  <c:v>702.884300032934</c:v>
                </c:pt>
                <c:pt idx="65">
                  <c:v>712.634234205389</c:v>
                </c:pt>
                <c:pt idx="66">
                  <c:v>726.52619215363</c:v>
                </c:pt>
                <c:pt idx="67">
                  <c:v>737.108931785682</c:v>
                </c:pt>
                <c:pt idx="68">
                  <c:v>743.827974753449</c:v>
                </c:pt>
                <c:pt idx="69">
                  <c:v>746.120083876977</c:v>
                </c:pt>
                <c:pt idx="70">
                  <c:v>664.187955459244</c:v>
                </c:pt>
                <c:pt idx="71">
                  <c:v>692.940451357191</c:v>
                </c:pt>
                <c:pt idx="72">
                  <c:v>709.490613099753</c:v>
                </c:pt>
                <c:pt idx="73">
                  <c:v>711.683777853229</c:v>
                </c:pt>
                <c:pt idx="74">
                  <c:v>721.475882357717</c:v>
                </c:pt>
                <c:pt idx="75">
                  <c:v>713.92003201159</c:v>
                </c:pt>
                <c:pt idx="76">
                  <c:v>650.180987486446</c:v>
                </c:pt>
                <c:pt idx="77">
                  <c:v>647.073085231645</c:v>
                </c:pt>
                <c:pt idx="78">
                  <c:v>638.939165374692</c:v>
                </c:pt>
                <c:pt idx="79">
                  <c:v>655.562138717261</c:v>
                </c:pt>
                <c:pt idx="80">
                  <c:v>669.843934758414</c:v>
                </c:pt>
                <c:pt idx="81">
                  <c:v>663.995427688195</c:v>
                </c:pt>
                <c:pt idx="82">
                  <c:v>673.166282017481</c:v>
                </c:pt>
                <c:pt idx="83">
                  <c:v>675.834672112115</c:v>
                </c:pt>
                <c:pt idx="84">
                  <c:v>674.199165042107</c:v>
                </c:pt>
                <c:pt idx="85">
                  <c:v>690.491074161369</c:v>
                </c:pt>
                <c:pt idx="86">
                  <c:v>703.560010320667</c:v>
                </c:pt>
                <c:pt idx="87">
                  <c:v>688.744808215551</c:v>
                </c:pt>
                <c:pt idx="88">
                  <c:v>635.982589494602</c:v>
                </c:pt>
                <c:pt idx="89">
                  <c:v>637.794309362017</c:v>
                </c:pt>
                <c:pt idx="90">
                  <c:v>690.749247225113</c:v>
                </c:pt>
              </c:numCache>
            </c:numRef>
          </c:val>
        </c:ser>
        <c:gapWidth val="100"/>
        <c:overlap val="0"/>
        <c:axId val="83831300"/>
        <c:axId val="27175592"/>
      </c:barChart>
      <c:catAx>
        <c:axId val="83831300"/>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lang="fr-FR" sz="1000" strike="noStrike" u="none">
                <a:solidFill>
                  <a:srgbClr val="000000"/>
                </a:solidFill>
                <a:uFillTx/>
                <a:latin typeface="Arial"/>
                <a:ea typeface="DejaVu Sans"/>
              </a:defRPr>
            </a:pPr>
          </a:p>
        </c:txPr>
        <c:crossAx val="27175592"/>
        <c:crosses val="autoZero"/>
        <c:auto val="1"/>
        <c:lblAlgn val="ctr"/>
        <c:lblOffset val="100"/>
        <c:noMultiLvlLbl val="0"/>
      </c:catAx>
      <c:valAx>
        <c:axId val="27175592"/>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b="0" lang="fr-FR" sz="1000" strike="noStrike" u="none">
                <a:solidFill>
                  <a:srgbClr val="000000"/>
                </a:solidFill>
                <a:uFillTx/>
                <a:latin typeface="Arial"/>
                <a:ea typeface="DejaVu Sans"/>
              </a:defRPr>
            </a:pPr>
          </a:p>
        </c:txPr>
        <c:crossAx val="83831300"/>
        <c:crosses val="autoZero"/>
        <c:crossBetween val="between"/>
      </c:valAx>
      <c:spPr>
        <a:noFill/>
        <a:ln w="0">
          <a:solidFill>
            <a:srgbClr val="b3b3b3"/>
          </a:solidFill>
        </a:ln>
      </c:spPr>
    </c:plotArea>
    <c:legend>
      <c:legendPos val="r"/>
      <c:overlay val="0"/>
      <c:spPr>
        <a:noFill/>
        <a:ln w="0">
          <a:noFill/>
        </a:ln>
      </c:spPr>
      <c:txPr>
        <a:bodyPr/>
        <a:lstStyle/>
        <a:p>
          <a:pPr>
            <a:defRPr b="0" lang="fr-FR" sz="1000" strike="noStrike" u="non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'Plan de cordes et filage'!$M$9</c:f>
              <c:strCache>
                <c:ptCount val="1"/>
                <c:pt idx="0">
                  <c:v>Inharmonicité âme octave, % 1/2 ton</c:v>
                </c:pt>
              </c:strCache>
            </c:strRef>
          </c:tx>
          <c:spPr>
            <a:solidFill>
              <a:srgbClr val="004586"/>
            </a:solidFill>
            <a:ln w="0">
              <a:noFill/>
            </a:ln>
          </c:spPr>
          <c:invertIfNegative val="0"/>
          <c:dLbls>
            <c:txPr>
              <a:bodyPr wrap="none"/>
              <a:lstStyle/>
              <a:p>
                <a:pPr>
                  <a:defRPr b="0" lang="fr-FR" sz="1000" strike="noStrike" u="non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'Plan de cordes et filage'!$C$10:$C$114</c:f>
              <c:strCache>
                <c:ptCount val="105"/>
                <c:pt idx="0">
                  <c:v>limite</c:v>
                </c:pt>
                <c:pt idx="1">
                  <c:v>limite</c:v>
                </c:pt>
                <c:pt idx="2">
                  <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pt idx="33">
                  <c:v>31</c:v>
                </c:pt>
                <c:pt idx="34">
                  <c:v>32</c:v>
                </c:pt>
                <c:pt idx="35">
                  <c:v>33</c:v>
                </c:pt>
                <c:pt idx="36">
                  <c:v>34</c:v>
                </c:pt>
                <c:pt idx="37">
                  <c:v>35</c:v>
                </c:pt>
                <c:pt idx="38">
                  <c:v>36</c:v>
                </c:pt>
                <c:pt idx="39">
                  <c:v>37</c:v>
                </c:pt>
                <c:pt idx="40">
                  <c:v>38</c:v>
                </c:pt>
                <c:pt idx="41">
                  <c:v>39</c:v>
                </c:pt>
                <c:pt idx="42">
                  <c:v>40</c:v>
                </c:pt>
                <c:pt idx="43">
                  <c:v>41</c:v>
                </c:pt>
                <c:pt idx="44">
                  <c:v>42</c:v>
                </c:pt>
                <c:pt idx="45">
                  <c:v>43</c:v>
                </c:pt>
                <c:pt idx="46">
                  <c:v>44</c:v>
                </c:pt>
                <c:pt idx="47">
                  <c:v>45</c:v>
                </c:pt>
                <c:pt idx="48">
                  <c:v>46</c:v>
                </c:pt>
                <c:pt idx="49">
                  <c:v>47</c:v>
                </c:pt>
                <c:pt idx="50">
                  <c:v>48</c:v>
                </c:pt>
                <c:pt idx="51">
                  <c:v>49</c:v>
                </c:pt>
                <c:pt idx="52">
                  <c:v>50</c:v>
                </c:pt>
                <c:pt idx="53">
                  <c:v>51</c:v>
                </c:pt>
                <c:pt idx="54">
                  <c:v>52</c:v>
                </c:pt>
                <c:pt idx="55">
                  <c:v>53</c:v>
                </c:pt>
                <c:pt idx="56">
                  <c:v>54</c:v>
                </c:pt>
                <c:pt idx="57">
                  <c:v>55</c:v>
                </c:pt>
                <c:pt idx="58">
                  <c:v>56</c:v>
                </c:pt>
                <c:pt idx="59">
                  <c:v>57</c:v>
                </c:pt>
                <c:pt idx="60">
                  <c:v>58</c:v>
                </c:pt>
                <c:pt idx="61">
                  <c:v>59</c:v>
                </c:pt>
                <c:pt idx="62">
                  <c:v>60</c:v>
                </c:pt>
                <c:pt idx="63">
                  <c:v>61</c:v>
                </c:pt>
                <c:pt idx="64">
                  <c:v>62</c:v>
                </c:pt>
                <c:pt idx="65">
                  <c:v>63</c:v>
                </c:pt>
                <c:pt idx="66">
                  <c:v>64</c:v>
                </c:pt>
                <c:pt idx="67">
                  <c:v>65</c:v>
                </c:pt>
                <c:pt idx="68">
                  <c:v>66</c:v>
                </c:pt>
                <c:pt idx="69">
                  <c:v>67</c:v>
                </c:pt>
                <c:pt idx="70">
                  <c:v>68</c:v>
                </c:pt>
                <c:pt idx="71">
                  <c:v>69</c:v>
                </c:pt>
                <c:pt idx="72">
                  <c:v>70</c:v>
                </c:pt>
                <c:pt idx="73">
                  <c:v>71</c:v>
                </c:pt>
                <c:pt idx="74">
                  <c:v>72</c:v>
                </c:pt>
                <c:pt idx="75">
                  <c:v>73</c:v>
                </c:pt>
                <c:pt idx="76">
                  <c:v>74</c:v>
                </c:pt>
                <c:pt idx="77">
                  <c:v>75</c:v>
                </c:pt>
                <c:pt idx="78">
                  <c:v>76</c:v>
                </c:pt>
                <c:pt idx="79">
                  <c:v>77</c:v>
                </c:pt>
                <c:pt idx="80">
                  <c:v>78</c:v>
                </c:pt>
                <c:pt idx="81">
                  <c:v>79</c:v>
                </c:pt>
                <c:pt idx="82">
                  <c:v>80</c:v>
                </c:pt>
                <c:pt idx="83">
                  <c:v>81</c:v>
                </c:pt>
                <c:pt idx="84">
                  <c:v>82</c:v>
                </c:pt>
                <c:pt idx="85">
                  <c:v>83</c:v>
                </c:pt>
                <c:pt idx="86">
                  <c:v>84</c:v>
                </c:pt>
                <c:pt idx="87">
                  <c:v>85</c:v>
                </c:pt>
                <c:pt idx="88">
                  <c:v>86</c:v>
                </c:pt>
                <c:pt idx="89">
                  <c:v>87</c:v>
                </c:pt>
                <c:pt idx="90">
                  <c:v>88</c:v>
                </c:pt>
                <c:pt idx="91">
                  <c:v>-</c:v>
                </c:pt>
                <c:pt idx="92">
                  <c:v>-</c:v>
                </c:pt>
                <c:pt idx="93">
                  <c:v>-</c:v>
                </c:pt>
                <c:pt idx="94">
                  <c:v>-</c:v>
                </c:pt>
                <c:pt idx="95">
                  <c:v>-</c:v>
                </c:pt>
                <c:pt idx="96">
                  <c:v>-</c:v>
                </c:pt>
                <c:pt idx="97">
                  <c:v>-</c:v>
                </c:pt>
                <c:pt idx="98">
                  <c:v>-</c:v>
                </c:pt>
                <c:pt idx="99">
                  <c:v>-</c:v>
                </c:pt>
                <c:pt idx="100">
                  <c:v>-</c:v>
                </c:pt>
                <c:pt idx="101">
                  <c:v>-</c:v>
                </c:pt>
                <c:pt idx="102">
                  <c:v>-</c:v>
                </c:pt>
                <c:pt idx="103">
                  <c:v>-</c:v>
                </c:pt>
                <c:pt idx="104">
                  <c:v>-</c:v>
                </c:pt>
              </c:strCache>
            </c:strRef>
          </c:cat>
          <c:val>
            <c:numRef>
              <c:f>'Plan de cordes et filage'!$M$10:$M$114</c:f>
              <c:numCache>
                <c:formatCode>0.00\ %</c:formatCode>
                <c:ptCount val="105"/>
                <c:pt idx="1">
                  <c:v>0.8</c:v>
                </c:pt>
                <c:pt idx="31">
                  <c:v>0.00662343668637068</c:v>
                </c:pt>
                <c:pt idx="32">
                  <c:v>0.00639228956689031</c:v>
                </c:pt>
                <c:pt idx="33">
                  <c:v>0.00570051132561031</c:v>
                </c:pt>
                <c:pt idx="34">
                  <c:v>0.00556774107641394</c:v>
                </c:pt>
                <c:pt idx="35">
                  <c:v>0.00500888953329604</c:v>
                </c:pt>
                <c:pt idx="36">
                  <c:v>0.00502575520156568</c:v>
                </c:pt>
                <c:pt idx="37">
                  <c:v>0.00461176127365435</c:v>
                </c:pt>
                <c:pt idx="38">
                  <c:v>0.00486818918169415</c:v>
                </c:pt>
                <c:pt idx="39">
                  <c:v>0.00457994190781322</c:v>
                </c:pt>
                <c:pt idx="40">
                  <c:v>0.00488335981383532</c:v>
                </c:pt>
                <c:pt idx="41">
                  <c:v>0.00521926501583574</c:v>
                </c:pt>
                <c:pt idx="42">
                  <c:v>0.0054994247052671</c:v>
                </c:pt>
                <c:pt idx="43">
                  <c:v>0.00543104675737416</c:v>
                </c:pt>
                <c:pt idx="44">
                  <c:v>0.00582113214485846</c:v>
                </c:pt>
                <c:pt idx="45">
                  <c:v>0.00621273205608429</c:v>
                </c:pt>
                <c:pt idx="46">
                  <c:v>0.00682826507414719</c:v>
                </c:pt>
                <c:pt idx="47">
                  <c:v>0.00748203629536699</c:v>
                </c:pt>
                <c:pt idx="48">
                  <c:v>0.00842112464964059</c:v>
                </c:pt>
                <c:pt idx="49">
                  <c:v>0.0122052947523583</c:v>
                </c:pt>
                <c:pt idx="50">
                  <c:v>0.0131298343002518</c:v>
                </c:pt>
                <c:pt idx="51">
                  <c:v>0.0143954318227704</c:v>
                </c:pt>
                <c:pt idx="52">
                  <c:v>0.0158006011187111</c:v>
                </c:pt>
                <c:pt idx="53">
                  <c:v>0.0177338193517192</c:v>
                </c:pt>
                <c:pt idx="54">
                  <c:v>0.0197301857961179</c:v>
                </c:pt>
                <c:pt idx="55">
                  <c:v>0.0225129247098541</c:v>
                </c:pt>
                <c:pt idx="56">
                  <c:v>0.0251166931649007</c:v>
                </c:pt>
                <c:pt idx="57">
                  <c:v>0.0280158061339302</c:v>
                </c:pt>
                <c:pt idx="58">
                  <c:v>0.0312169264677999</c:v>
                </c:pt>
                <c:pt idx="59">
                  <c:v>0.0357916901841348</c:v>
                </c:pt>
                <c:pt idx="60">
                  <c:v>0.0378742817913157</c:v>
                </c:pt>
                <c:pt idx="61">
                  <c:v>0.0417565527175883</c:v>
                </c:pt>
                <c:pt idx="62">
                  <c:v>0.0466108418529268</c:v>
                </c:pt>
                <c:pt idx="63">
                  <c:v>0.0507813273065509</c:v>
                </c:pt>
                <c:pt idx="64">
                  <c:v>0.0570372853374049</c:v>
                </c:pt>
                <c:pt idx="65">
                  <c:v>0.0623019139853052</c:v>
                </c:pt>
                <c:pt idx="66">
                  <c:v>0.0673039809861781</c:v>
                </c:pt>
                <c:pt idx="67">
                  <c:v>0.0734194158815333</c:v>
                </c:pt>
                <c:pt idx="68">
                  <c:v>0.0809607646073623</c:v>
                </c:pt>
                <c:pt idx="69">
                  <c:v>0.0903571820535601</c:v>
                </c:pt>
                <c:pt idx="70">
                  <c:v>0.128051784893888</c:v>
                </c:pt>
                <c:pt idx="71">
                  <c:v>0.132140397346561</c:v>
                </c:pt>
                <c:pt idx="72">
                  <c:v>0.14154049468302</c:v>
                </c:pt>
                <c:pt idx="73">
                  <c:v>0.158046632309616</c:v>
                </c:pt>
                <c:pt idx="74">
                  <c:v>0.172744124313862</c:v>
                </c:pt>
                <c:pt idx="75">
                  <c:v>0.198160770167127</c:v>
                </c:pt>
                <c:pt idx="76">
                  <c:v>0.190504772819975</c:v>
                </c:pt>
                <c:pt idx="77">
                  <c:v>0.216094975013974</c:v>
                </c:pt>
                <c:pt idx="78">
                  <c:v>0.248998047175114</c:v>
                </c:pt>
                <c:pt idx="79">
                  <c:v>0.265784533018771</c:v>
                </c:pt>
                <c:pt idx="80">
                  <c:v>0.286114017748</c:v>
                </c:pt>
                <c:pt idx="81">
                  <c:v>0.327336120450565</c:v>
                </c:pt>
                <c:pt idx="82">
                  <c:v>0.359229831992602</c:v>
                </c:pt>
                <c:pt idx="83">
                  <c:v>0.40049935417841</c:v>
                </c:pt>
                <c:pt idx="84">
                  <c:v>0.452403073174139</c:v>
                </c:pt>
                <c:pt idx="85">
                  <c:v>0.485510942058549</c:v>
                </c:pt>
                <c:pt idx="86">
                  <c:v>0.526181167408668</c:v>
                </c:pt>
                <c:pt idx="87">
                  <c:v>0.618524280719596</c:v>
                </c:pt>
                <c:pt idx="88">
                  <c:v>0.566014750652046</c:v>
                </c:pt>
                <c:pt idx="89">
                  <c:v>0.634167624246067</c:v>
                </c:pt>
                <c:pt idx="90">
                  <c:v>0.609694299943205</c:v>
                </c:pt>
              </c:numCache>
            </c:numRef>
          </c:val>
        </c:ser>
        <c:gapWidth val="100"/>
        <c:overlap val="0"/>
        <c:axId val="80137984"/>
        <c:axId val="1155847"/>
      </c:barChart>
      <c:catAx>
        <c:axId val="80137984"/>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lang="fr-FR" sz="1000" strike="noStrike" u="none">
                <a:solidFill>
                  <a:srgbClr val="000000"/>
                </a:solidFill>
                <a:uFillTx/>
                <a:latin typeface="Arial"/>
                <a:ea typeface="DejaVu Sans"/>
              </a:defRPr>
            </a:pPr>
          </a:p>
        </c:txPr>
        <c:crossAx val="1155847"/>
        <c:crosses val="autoZero"/>
        <c:auto val="1"/>
        <c:lblAlgn val="ctr"/>
        <c:lblOffset val="100"/>
        <c:noMultiLvlLbl val="0"/>
      </c:catAx>
      <c:valAx>
        <c:axId val="1155847"/>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b="0" lang="fr-FR" sz="1000" strike="noStrike" u="none">
                <a:solidFill>
                  <a:srgbClr val="000000"/>
                </a:solidFill>
                <a:uFillTx/>
                <a:latin typeface="Arial"/>
                <a:ea typeface="DejaVu Sans"/>
              </a:defRPr>
            </a:pPr>
          </a:p>
        </c:txPr>
        <c:crossAx val="80137984"/>
        <c:crosses val="autoZero"/>
        <c:crossBetween val="between"/>
      </c:valAx>
      <c:spPr>
        <a:noFill/>
        <a:ln w="0">
          <a:solidFill>
            <a:srgbClr val="b3b3b3"/>
          </a:solidFill>
        </a:ln>
      </c:spPr>
    </c:plotArea>
    <c:legend>
      <c:legendPos val="r"/>
      <c:overlay val="0"/>
      <c:spPr>
        <a:noFill/>
        <a:ln w="0">
          <a:noFill/>
        </a:ln>
      </c:spPr>
      <c:txPr>
        <a:bodyPr/>
        <a:lstStyle/>
        <a:p>
          <a:pPr>
            <a:defRPr b="0" lang="fr-FR" sz="1000" strike="noStrike" u="non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'Plan de cordes et filage'!$K$9</c:f>
              <c:strCache>
                <c:ptCount val="1"/>
                <c:pt idx="0">
                  <c:v>Variation de masse note</c:v>
                </c:pt>
              </c:strCache>
            </c:strRef>
          </c:tx>
          <c:spPr>
            <a:solidFill>
              <a:srgbClr val="004586"/>
            </a:solidFill>
            <a:ln w="0">
              <a:noFill/>
            </a:ln>
          </c:spPr>
          <c:invertIfNegative val="0"/>
          <c:dLbls>
            <c:txPr>
              <a:bodyPr wrap="none"/>
              <a:lstStyle/>
              <a:p>
                <a:pPr>
                  <a:defRPr b="0" lang="fr-FR" sz="1000" strike="noStrike" u="non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'Plan de cordes et filage'!$C$10:$C$114</c:f>
              <c:strCache>
                <c:ptCount val="105"/>
                <c:pt idx="0">
                  <c:v>limite</c:v>
                </c:pt>
                <c:pt idx="1">
                  <c:v>limite</c:v>
                </c:pt>
                <c:pt idx="2">
                  <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pt idx="33">
                  <c:v>31</c:v>
                </c:pt>
                <c:pt idx="34">
                  <c:v>32</c:v>
                </c:pt>
                <c:pt idx="35">
                  <c:v>33</c:v>
                </c:pt>
                <c:pt idx="36">
                  <c:v>34</c:v>
                </c:pt>
                <c:pt idx="37">
                  <c:v>35</c:v>
                </c:pt>
                <c:pt idx="38">
                  <c:v>36</c:v>
                </c:pt>
                <c:pt idx="39">
                  <c:v>37</c:v>
                </c:pt>
                <c:pt idx="40">
                  <c:v>38</c:v>
                </c:pt>
                <c:pt idx="41">
                  <c:v>39</c:v>
                </c:pt>
                <c:pt idx="42">
                  <c:v>40</c:v>
                </c:pt>
                <c:pt idx="43">
                  <c:v>41</c:v>
                </c:pt>
                <c:pt idx="44">
                  <c:v>42</c:v>
                </c:pt>
                <c:pt idx="45">
                  <c:v>43</c:v>
                </c:pt>
                <c:pt idx="46">
                  <c:v>44</c:v>
                </c:pt>
                <c:pt idx="47">
                  <c:v>45</c:v>
                </c:pt>
                <c:pt idx="48">
                  <c:v>46</c:v>
                </c:pt>
                <c:pt idx="49">
                  <c:v>47</c:v>
                </c:pt>
                <c:pt idx="50">
                  <c:v>48</c:v>
                </c:pt>
                <c:pt idx="51">
                  <c:v>49</c:v>
                </c:pt>
                <c:pt idx="52">
                  <c:v>50</c:v>
                </c:pt>
                <c:pt idx="53">
                  <c:v>51</c:v>
                </c:pt>
                <c:pt idx="54">
                  <c:v>52</c:v>
                </c:pt>
                <c:pt idx="55">
                  <c:v>53</c:v>
                </c:pt>
                <c:pt idx="56">
                  <c:v>54</c:v>
                </c:pt>
                <c:pt idx="57">
                  <c:v>55</c:v>
                </c:pt>
                <c:pt idx="58">
                  <c:v>56</c:v>
                </c:pt>
                <c:pt idx="59">
                  <c:v>57</c:v>
                </c:pt>
                <c:pt idx="60">
                  <c:v>58</c:v>
                </c:pt>
                <c:pt idx="61">
                  <c:v>59</c:v>
                </c:pt>
                <c:pt idx="62">
                  <c:v>60</c:v>
                </c:pt>
                <c:pt idx="63">
                  <c:v>61</c:v>
                </c:pt>
                <c:pt idx="64">
                  <c:v>62</c:v>
                </c:pt>
                <c:pt idx="65">
                  <c:v>63</c:v>
                </c:pt>
                <c:pt idx="66">
                  <c:v>64</c:v>
                </c:pt>
                <c:pt idx="67">
                  <c:v>65</c:v>
                </c:pt>
                <c:pt idx="68">
                  <c:v>66</c:v>
                </c:pt>
                <c:pt idx="69">
                  <c:v>67</c:v>
                </c:pt>
                <c:pt idx="70">
                  <c:v>68</c:v>
                </c:pt>
                <c:pt idx="71">
                  <c:v>69</c:v>
                </c:pt>
                <c:pt idx="72">
                  <c:v>70</c:v>
                </c:pt>
                <c:pt idx="73">
                  <c:v>71</c:v>
                </c:pt>
                <c:pt idx="74">
                  <c:v>72</c:v>
                </c:pt>
                <c:pt idx="75">
                  <c:v>73</c:v>
                </c:pt>
                <c:pt idx="76">
                  <c:v>74</c:v>
                </c:pt>
                <c:pt idx="77">
                  <c:v>75</c:v>
                </c:pt>
                <c:pt idx="78">
                  <c:v>76</c:v>
                </c:pt>
                <c:pt idx="79">
                  <c:v>77</c:v>
                </c:pt>
                <c:pt idx="80">
                  <c:v>78</c:v>
                </c:pt>
                <c:pt idx="81">
                  <c:v>79</c:v>
                </c:pt>
                <c:pt idx="82">
                  <c:v>80</c:v>
                </c:pt>
                <c:pt idx="83">
                  <c:v>81</c:v>
                </c:pt>
                <c:pt idx="84">
                  <c:v>82</c:v>
                </c:pt>
                <c:pt idx="85">
                  <c:v>83</c:v>
                </c:pt>
                <c:pt idx="86">
                  <c:v>84</c:v>
                </c:pt>
                <c:pt idx="87">
                  <c:v>85</c:v>
                </c:pt>
                <c:pt idx="88">
                  <c:v>86</c:v>
                </c:pt>
                <c:pt idx="89">
                  <c:v>87</c:v>
                </c:pt>
                <c:pt idx="90">
                  <c:v>88</c:v>
                </c:pt>
                <c:pt idx="91">
                  <c:v>-</c:v>
                </c:pt>
                <c:pt idx="92">
                  <c:v>-</c:v>
                </c:pt>
                <c:pt idx="93">
                  <c:v>-</c:v>
                </c:pt>
                <c:pt idx="94">
                  <c:v>-</c:v>
                </c:pt>
                <c:pt idx="95">
                  <c:v>-</c:v>
                </c:pt>
                <c:pt idx="96">
                  <c:v>-</c:v>
                </c:pt>
                <c:pt idx="97">
                  <c:v>-</c:v>
                </c:pt>
                <c:pt idx="98">
                  <c:v>-</c:v>
                </c:pt>
                <c:pt idx="99">
                  <c:v>-</c:v>
                </c:pt>
                <c:pt idx="100">
                  <c:v>-</c:v>
                </c:pt>
                <c:pt idx="101">
                  <c:v>-</c:v>
                </c:pt>
                <c:pt idx="102">
                  <c:v>-</c:v>
                </c:pt>
                <c:pt idx="103">
                  <c:v>-</c:v>
                </c:pt>
                <c:pt idx="104">
                  <c:v>-</c:v>
                </c:pt>
              </c:strCache>
            </c:strRef>
          </c:cat>
          <c:val>
            <c:numRef>
              <c:f>'Plan de cordes et filage'!$K$10:$K$114</c:f>
              <c:numCache>
                <c:formatCode>0.00\ %</c:formatCode>
                <c:ptCount val="105"/>
                <c:pt idx="0">
                  <c:v>-0.2</c:v>
                </c:pt>
                <c:pt idx="1">
                  <c:v>0.8</c:v>
                </c:pt>
                <c:pt idx="4">
                  <c:v>-0.131553155287619</c:v>
                </c:pt>
                <c:pt idx="5">
                  <c:v>-0.107736982575634</c:v>
                </c:pt>
                <c:pt idx="6">
                  <c:v>-0.0775402467967291</c:v>
                </c:pt>
                <c:pt idx="7">
                  <c:v>-0.118529487805051</c:v>
                </c:pt>
                <c:pt idx="8">
                  <c:v>-0.125530686388635</c:v>
                </c:pt>
                <c:pt idx="9">
                  <c:v>-0.0913955882880617</c:v>
                </c:pt>
                <c:pt idx="10">
                  <c:v>-0.0962088202637682</c:v>
                </c:pt>
                <c:pt idx="11">
                  <c:v>0.754084642873262</c:v>
                </c:pt>
                <c:pt idx="12">
                  <c:v>-0.0843345326069807</c:v>
                </c:pt>
                <c:pt idx="13">
                  <c:v>-0.111679061884162</c:v>
                </c:pt>
                <c:pt idx="14">
                  <c:v>-0.1192637071271</c:v>
                </c:pt>
                <c:pt idx="15">
                  <c:v>-0.0972116556561223</c:v>
                </c:pt>
                <c:pt idx="16">
                  <c:v>-0.10233631022153</c:v>
                </c:pt>
                <c:pt idx="17">
                  <c:v>-0.107905087461831</c:v>
                </c:pt>
                <c:pt idx="18">
                  <c:v>-0.0794405601096492</c:v>
                </c:pt>
                <c:pt idx="19">
                  <c:v>-0.11785075877908</c:v>
                </c:pt>
                <c:pt idx="20">
                  <c:v>-0.0890217389087268</c:v>
                </c:pt>
                <c:pt idx="21">
                  <c:v>-0.0905199434260611</c:v>
                </c:pt>
                <c:pt idx="22">
                  <c:v>-0.0975468867967027</c:v>
                </c:pt>
                <c:pt idx="23">
                  <c:v>-0.100530967738328</c:v>
                </c:pt>
                <c:pt idx="24">
                  <c:v>-0.104741247709258</c:v>
                </c:pt>
                <c:pt idx="25">
                  <c:v>-0.110273331908804</c:v>
                </c:pt>
                <c:pt idx="26">
                  <c:v>-0.116313846150208</c:v>
                </c:pt>
                <c:pt idx="27">
                  <c:v>-0.0735593966924618</c:v>
                </c:pt>
                <c:pt idx="28">
                  <c:v>-0.15516668235501</c:v>
                </c:pt>
                <c:pt idx="29">
                  <c:v>-0.0814529075014108</c:v>
                </c:pt>
                <c:pt idx="30">
                  <c:v>-0.0899564719033604</c:v>
                </c:pt>
                <c:pt idx="31">
                  <c:v>-0.195800175345255</c:v>
                </c:pt>
                <c:pt idx="32">
                  <c:v>-0.0198019801980197</c:v>
                </c:pt>
                <c:pt idx="33">
                  <c:v>-0.105398025624869</c:v>
                </c:pt>
                <c:pt idx="34">
                  <c:v>-0.0227272727272727</c:v>
                </c:pt>
                <c:pt idx="35">
                  <c:v>-0.111959009662258</c:v>
                </c:pt>
                <c:pt idx="36">
                  <c:v>-0.0292841648590021</c:v>
                </c:pt>
                <c:pt idx="37">
                  <c:v>-0.121346862767453</c:v>
                </c:pt>
                <c:pt idx="38">
                  <c:v>-0.0415224913494809</c:v>
                </c:pt>
                <c:pt idx="39">
                  <c:v>-0.132253309265945</c:v>
                </c:pt>
                <c:pt idx="40">
                  <c:v>-0.0438047559449313</c:v>
                </c:pt>
                <c:pt idx="41">
                  <c:v>-0.044502617801047</c:v>
                </c:pt>
                <c:pt idx="42">
                  <c:v>-0.0410958904109588</c:v>
                </c:pt>
                <c:pt idx="43">
                  <c:v>-0.148650573802928</c:v>
                </c:pt>
                <c:pt idx="44">
                  <c:v>-0.0451807228915661</c:v>
                </c:pt>
                <c:pt idx="45">
                  <c:v>-0.0441640378548899</c:v>
                </c:pt>
                <c:pt idx="46">
                  <c:v>-0.0511551155115509</c:v>
                </c:pt>
                <c:pt idx="47">
                  <c:v>-0.0504347826086957</c:v>
                </c:pt>
                <c:pt idx="48">
                  <c:v>-0.0567765567765569</c:v>
                </c:pt>
                <c:pt idx="49">
                  <c:v>-0.114563106796117</c:v>
                </c:pt>
                <c:pt idx="50">
                  <c:v>-0.0460526315789471</c:v>
                </c:pt>
                <c:pt idx="51">
                  <c:v>-0.0505747126436782</c:v>
                </c:pt>
                <c:pt idx="52">
                  <c:v>-0.0508474576271186</c:v>
                </c:pt>
                <c:pt idx="53">
                  <c:v>-0.0561224489795918</c:v>
                </c:pt>
                <c:pt idx="54">
                  <c:v>-0.0540540540540542</c:v>
                </c:pt>
                <c:pt idx="55">
                  <c:v>-0.0599999999999999</c:v>
                </c:pt>
                <c:pt idx="56">
                  <c:v>-0.054711246200608</c:v>
                </c:pt>
                <c:pt idx="57">
                  <c:v>-0.0546623794212218</c:v>
                </c:pt>
                <c:pt idx="58">
                  <c:v>-0.0544217687074832</c:v>
                </c:pt>
                <c:pt idx="59">
                  <c:v>-0.0611510791366906</c:v>
                </c:pt>
                <c:pt idx="60">
                  <c:v>-0.0421455938697318</c:v>
                </c:pt>
                <c:pt idx="61">
                  <c:v>-0.052</c:v>
                </c:pt>
                <c:pt idx="62">
                  <c:v>-0.0548523206751056</c:v>
                </c:pt>
                <c:pt idx="63">
                  <c:v>-0.0491071428571427</c:v>
                </c:pt>
                <c:pt idx="64">
                  <c:v>-0.0563380281690141</c:v>
                </c:pt>
                <c:pt idx="65">
                  <c:v>-0.0497512437810945</c:v>
                </c:pt>
                <c:pt idx="66">
                  <c:v>-0.0471204188481674</c:v>
                </c:pt>
                <c:pt idx="67">
                  <c:v>-0.0494505494505496</c:v>
                </c:pt>
                <c:pt idx="68">
                  <c:v>-0.0520231213872833</c:v>
                </c:pt>
                <c:pt idx="69">
                  <c:v>-0.0548780487804876</c:v>
                </c:pt>
                <c:pt idx="70">
                  <c:v>-0.109677419354839</c:v>
                </c:pt>
                <c:pt idx="71">
                  <c:v>-0.0362318840579711</c:v>
                </c:pt>
                <c:pt idx="72">
                  <c:v>-0.0451127819548872</c:v>
                </c:pt>
                <c:pt idx="73">
                  <c:v>-0.0551181102362205</c:v>
                </c:pt>
                <c:pt idx="74">
                  <c:v>-0.0500000000000002</c:v>
                </c:pt>
                <c:pt idx="75">
                  <c:v>-0.0614035087719298</c:v>
                </c:pt>
                <c:pt idx="76">
                  <c:v>-0.149705780546902</c:v>
                </c:pt>
                <c:pt idx="77">
                  <c:v>-0.0588235294117648</c:v>
                </c:pt>
                <c:pt idx="78">
                  <c:v>-0.0624999999999999</c:v>
                </c:pt>
                <c:pt idx="79">
                  <c:v>-0.0444444444444445</c:v>
                </c:pt>
                <c:pt idx="80">
                  <c:v>-0.0465116279069768</c:v>
                </c:pt>
                <c:pt idx="81">
                  <c:v>-0.0609756097560974</c:v>
                </c:pt>
                <c:pt idx="82">
                  <c:v>-0.0519480519480521</c:v>
                </c:pt>
                <c:pt idx="83">
                  <c:v>-0.0547945205479451</c:v>
                </c:pt>
                <c:pt idx="84">
                  <c:v>-0.0579710144927536</c:v>
                </c:pt>
                <c:pt idx="85">
                  <c:v>-0.0461538461538461</c:v>
                </c:pt>
                <c:pt idx="86">
                  <c:v>-0.0483870967741935</c:v>
                </c:pt>
                <c:pt idx="87">
                  <c:v>-0.0677966101694916</c:v>
                </c:pt>
                <c:pt idx="88">
                  <c:v>-0.146398238439761</c:v>
                </c:pt>
                <c:pt idx="89">
                  <c:v>-0.0566037735849055</c:v>
                </c:pt>
                <c:pt idx="90">
                  <c:v>-0.0200000000000001</c:v>
                </c:pt>
              </c:numCache>
            </c:numRef>
          </c:val>
        </c:ser>
        <c:gapWidth val="100"/>
        <c:overlap val="0"/>
        <c:axId val="783820"/>
        <c:axId val="6070044"/>
      </c:barChart>
      <c:catAx>
        <c:axId val="783820"/>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lang="fr-FR" sz="1000" strike="noStrike" u="none">
                <a:solidFill>
                  <a:srgbClr val="000000"/>
                </a:solidFill>
                <a:uFillTx/>
                <a:latin typeface="Arial"/>
                <a:ea typeface="DejaVu Sans"/>
              </a:defRPr>
            </a:pPr>
          </a:p>
        </c:txPr>
        <c:crossAx val="6070044"/>
        <c:crosses val="autoZero"/>
        <c:auto val="1"/>
        <c:lblAlgn val="ctr"/>
        <c:lblOffset val="100"/>
        <c:noMultiLvlLbl val="0"/>
      </c:catAx>
      <c:valAx>
        <c:axId val="6070044"/>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b="0" lang="fr-FR" sz="1000" strike="noStrike" u="none">
                <a:solidFill>
                  <a:srgbClr val="000000"/>
                </a:solidFill>
                <a:uFillTx/>
                <a:latin typeface="Arial"/>
                <a:ea typeface="DejaVu Sans"/>
              </a:defRPr>
            </a:pPr>
          </a:p>
        </c:txPr>
        <c:crossAx val="783820"/>
        <c:crosses val="autoZero"/>
        <c:crossBetween val="between"/>
      </c:valAx>
      <c:spPr>
        <a:noFill/>
        <a:ln w="0">
          <a:solidFill>
            <a:srgbClr val="b3b3b3"/>
          </a:solidFill>
        </a:ln>
      </c:spPr>
    </c:plotArea>
    <c:legend>
      <c:legendPos val="r"/>
      <c:overlay val="0"/>
      <c:spPr>
        <a:noFill/>
        <a:ln w="0">
          <a:noFill/>
        </a:ln>
      </c:spPr>
      <c:txPr>
        <a:bodyPr/>
        <a:lstStyle/>
        <a:p>
          <a:pPr>
            <a:defRPr b="0" lang="fr-FR" sz="1000" strike="noStrike" u="none">
              <a:solidFill>
                <a:srgbClr val="000000"/>
              </a:solidFill>
              <a:uFillTx/>
              <a:latin typeface="Arial"/>
              <a:ea typeface="DejaVu Sans"/>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360</xdr:colOff>
      <xdr:row>2</xdr:row>
      <xdr:rowOff>360</xdr:rowOff>
    </xdr:from>
    <xdr:to>
      <xdr:col>15</xdr:col>
      <xdr:colOff>207720</xdr:colOff>
      <xdr:row>21</xdr:row>
      <xdr:rowOff>150120</xdr:rowOff>
    </xdr:to>
    <xdr:graphicFrame>
      <xdr:nvGraphicFramePr>
        <xdr:cNvPr id="0" name=""/>
        <xdr:cNvGraphicFramePr/>
      </xdr:nvGraphicFramePr>
      <xdr:xfrm>
        <a:off x="813240" y="325440"/>
        <a:ext cx="1158660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11520</xdr:colOff>
      <xdr:row>24</xdr:row>
      <xdr:rowOff>22680</xdr:rowOff>
    </xdr:from>
    <xdr:to>
      <xdr:col>15</xdr:col>
      <xdr:colOff>734400</xdr:colOff>
      <xdr:row>44</xdr:row>
      <xdr:rowOff>10080</xdr:rowOff>
    </xdr:to>
    <xdr:graphicFrame>
      <xdr:nvGraphicFramePr>
        <xdr:cNvPr id="1" name=""/>
        <xdr:cNvGraphicFramePr/>
      </xdr:nvGraphicFramePr>
      <xdr:xfrm>
        <a:off x="824400" y="3924000"/>
        <a:ext cx="12102120" cy="323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769320</xdr:colOff>
      <xdr:row>47</xdr:row>
      <xdr:rowOff>119880</xdr:rowOff>
    </xdr:from>
    <xdr:to>
      <xdr:col>15</xdr:col>
      <xdr:colOff>679320</xdr:colOff>
      <xdr:row>67</xdr:row>
      <xdr:rowOff>107280</xdr:rowOff>
    </xdr:to>
    <xdr:graphicFrame>
      <xdr:nvGraphicFramePr>
        <xdr:cNvPr id="2" name=""/>
        <xdr:cNvGraphicFramePr/>
      </xdr:nvGraphicFramePr>
      <xdr:xfrm>
        <a:off x="769320" y="7760160"/>
        <a:ext cx="12102120" cy="32385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G11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2" activeCellId="0" sqref="B2"/>
    </sheetView>
  </sheetViews>
  <sheetFormatPr defaultColWidth="11.53515625" defaultRowHeight="12.8" customHeight="true" zeroHeight="false" outlineLevelRow="0" outlineLevelCol="0"/>
  <cols>
    <col collapsed="false" customWidth="true" hidden="false" outlineLevel="0" max="1" min="1" style="1" width="7.42"/>
    <col collapsed="false" customWidth="true" hidden="false" outlineLevel="0" max="2" min="2" style="1" width="6.96"/>
    <col collapsed="false" customWidth="true" hidden="false" outlineLevel="0" max="3" min="3" style="1" width="5.1"/>
    <col collapsed="false" customWidth="true" hidden="false" outlineLevel="0" max="4" min="4" style="1" width="7.57"/>
    <col collapsed="false" customWidth="true" hidden="false" outlineLevel="0" max="5" min="5" style="1" width="8.34"/>
    <col collapsed="false" customWidth="true" hidden="false" outlineLevel="0" max="6" min="6" style="2" width="8.34"/>
    <col collapsed="false" customWidth="true" hidden="false" outlineLevel="0" max="7" min="7" style="1" width="5.4"/>
    <col collapsed="false" customWidth="true" hidden="false" outlineLevel="0" max="8" min="8" style="1" width="6.8"/>
    <col collapsed="false" customWidth="true" hidden="false" outlineLevel="0" max="9" min="9" style="1" width="9.04"/>
    <col collapsed="false" customWidth="true" hidden="false" outlineLevel="0" max="10" min="10" style="1" width="10.51"/>
    <col collapsed="false" customWidth="true" hidden="false" outlineLevel="0" max="11" min="11" style="3" width="9.04"/>
    <col collapsed="false" customWidth="true" hidden="false" outlineLevel="0" max="13" min="12" style="1" width="10.51"/>
    <col collapsed="false" customWidth="true" hidden="false" outlineLevel="0" max="14" min="14" style="1" width="9.74"/>
    <col collapsed="false" customWidth="true" hidden="false" outlineLevel="0" max="15" min="15" style="1" width="7.26"/>
    <col collapsed="false" customWidth="true" hidden="false" outlineLevel="0" max="16" min="16" style="3" width="8.34"/>
    <col collapsed="false" customWidth="true" hidden="false" outlineLevel="0" max="17" min="17" style="4" width="8.34"/>
    <col collapsed="false" customWidth="true" hidden="false" outlineLevel="0" max="18" min="18" style="5" width="7.26"/>
    <col collapsed="false" customWidth="true" hidden="false" outlineLevel="0" max="20" min="19" style="6" width="5.87"/>
    <col collapsed="false" customWidth="true" hidden="false" outlineLevel="0" max="22" min="21" style="2" width="7.11"/>
    <col collapsed="false" customWidth="true" hidden="false" outlineLevel="0" max="23" min="23" style="1" width="7.11"/>
    <col collapsed="false" customWidth="true" hidden="false" outlineLevel="0" max="24" min="24" style="2" width="7.11"/>
    <col collapsed="false" customWidth="true" hidden="false" outlineLevel="0" max="25" min="25" style="1" width="7.11"/>
    <col collapsed="false" customWidth="true" hidden="false" outlineLevel="0" max="26" min="26" style="2" width="7.11"/>
    <col collapsed="false" customWidth="false" hidden="true" outlineLevel="0" max="27" min="27" style="7" width="11.53"/>
    <col collapsed="false" customWidth="true" hidden="true" outlineLevel="0" max="29" min="28" style="7" width="13.29"/>
    <col collapsed="false" customWidth="true" hidden="true" outlineLevel="0" max="33" min="30" style="8" width="13.29"/>
    <col collapsed="false" customWidth="true" hidden="true" outlineLevel="0" max="34" min="34" style="9" width="13.29"/>
    <col collapsed="false" customWidth="true" hidden="true" outlineLevel="0" max="35" min="35" style="9" width="9.89"/>
    <col collapsed="false" customWidth="true" hidden="true" outlineLevel="0" max="36" min="36" style="7" width="5.97"/>
    <col collapsed="false" customWidth="true" hidden="true" outlineLevel="0" max="37" min="37" style="10" width="8.19"/>
    <col collapsed="false" customWidth="true" hidden="true" outlineLevel="0" max="38" min="38" style="10" width="7.88"/>
    <col collapsed="false" customWidth="true" hidden="true" outlineLevel="0" max="39" min="39" style="7" width="9.04"/>
    <col collapsed="false" customWidth="true" hidden="true" outlineLevel="0" max="41" min="40" style="7" width="5.97"/>
    <col collapsed="false" customWidth="true" hidden="true" outlineLevel="0" max="42" min="42" style="7" width="8.28"/>
    <col collapsed="false" customWidth="true" hidden="true" outlineLevel="0" max="43" min="43" style="7" width="9.42"/>
    <col collapsed="false" customWidth="true" hidden="true" outlineLevel="0" max="44" min="44" style="11" width="5.4"/>
    <col collapsed="false" customWidth="false" hidden="true" outlineLevel="0" max="45" min="45" style="11" width="11.53"/>
    <col collapsed="false" customWidth="true" hidden="true" outlineLevel="0" max="46" min="46" style="11" width="5.97"/>
    <col collapsed="false" customWidth="true" hidden="true" outlineLevel="0" max="48" min="47" style="11" width="8.81"/>
    <col collapsed="false" customWidth="true" hidden="true" outlineLevel="0" max="49" min="49" style="11" width="10.66"/>
    <col collapsed="false" customWidth="true" hidden="true" outlineLevel="0" max="50" min="50" style="12" width="11.43"/>
    <col collapsed="false" customWidth="true" hidden="true" outlineLevel="0" max="51" min="51" style="13" width="11.43"/>
    <col collapsed="false" customWidth="true" hidden="true" outlineLevel="0" max="52" min="52" style="13" width="10.06"/>
    <col collapsed="false" customWidth="true" hidden="true" outlineLevel="0" max="53" min="53" style="13" width="16.38"/>
    <col collapsed="false" customWidth="false" hidden="true" outlineLevel="0" max="54" min="54" style="7" width="11.53"/>
    <col collapsed="false" customWidth="true" hidden="true" outlineLevel="0" max="55" min="55" style="7" width="7.26"/>
    <col collapsed="false" customWidth="true" hidden="true" outlineLevel="0" max="57" min="56" style="7" width="10.76"/>
    <col collapsed="false" customWidth="true" hidden="true" outlineLevel="0" max="58" min="58" style="7" width="21.95"/>
    <col collapsed="false" customWidth="false" hidden="true" outlineLevel="0" max="59" min="59" style="14" width="11.53"/>
    <col collapsed="false" customWidth="false" hidden="true" outlineLevel="0" max="60" min="60" style="1" width="11.53"/>
    <col collapsed="false" customWidth="false" hidden="false" outlineLevel="0" max="16384" min="61" style="1" width="11.53"/>
  </cols>
  <sheetData>
    <row r="1" customFormat="false" ht="12.8" hidden="false" customHeight="false" outlineLevel="0" collapsed="false">
      <c r="A1" s="15" t="s">
        <v>0</v>
      </c>
      <c r="C1" s="16"/>
      <c r="D1" s="15"/>
      <c r="E1" s="16"/>
      <c r="F1" s="17"/>
      <c r="G1" s="16"/>
      <c r="H1" s="16"/>
      <c r="W1" s="3"/>
      <c r="X1" s="18"/>
      <c r="Y1" s="3"/>
      <c r="Z1" s="18"/>
      <c r="AA1" s="11"/>
      <c r="AB1" s="11"/>
      <c r="AC1" s="11"/>
      <c r="AD1" s="13"/>
      <c r="AE1" s="13"/>
      <c r="AF1" s="13"/>
      <c r="AG1" s="13"/>
      <c r="AH1" s="19"/>
      <c r="AI1" s="19"/>
      <c r="AJ1" s="11"/>
      <c r="AK1" s="20"/>
      <c r="AL1" s="20"/>
      <c r="AM1" s="20"/>
      <c r="AN1" s="11"/>
      <c r="AO1" s="11"/>
      <c r="AP1" s="11"/>
      <c r="AQ1" s="11"/>
      <c r="AR1" s="21"/>
      <c r="AS1" s="21"/>
      <c r="AU1" s="21"/>
      <c r="AV1" s="21"/>
      <c r="AW1" s="21"/>
      <c r="AX1" s="22"/>
      <c r="AY1" s="23"/>
      <c r="AZ1" s="23"/>
      <c r="BA1" s="23"/>
    </row>
    <row r="2" customFormat="false" ht="12.8" hidden="false" customHeight="false" outlineLevel="0" collapsed="false">
      <c r="A2" s="16" t="s">
        <v>1</v>
      </c>
      <c r="B2" s="24" t="s">
        <v>2</v>
      </c>
      <c r="C2" s="15"/>
      <c r="G2" s="25"/>
      <c r="H2" s="25"/>
      <c r="I2" s="25"/>
      <c r="J2" s="25"/>
      <c r="L2" s="25"/>
      <c r="Q2" s="26"/>
      <c r="R2" s="27"/>
      <c r="S2" s="28"/>
      <c r="T2" s="28"/>
      <c r="U2" s="29" t="s">
        <v>3</v>
      </c>
      <c r="V2" s="29"/>
      <c r="W2" s="30"/>
      <c r="X2" s="31"/>
      <c r="Y2" s="30"/>
      <c r="Z2" s="31"/>
      <c r="AA2" s="20"/>
      <c r="AB2" s="20"/>
      <c r="AC2" s="20"/>
      <c r="AD2" s="32"/>
      <c r="AE2" s="32"/>
      <c r="AF2" s="32"/>
      <c r="AG2" s="32"/>
      <c r="AH2" s="33"/>
      <c r="AI2" s="33"/>
      <c r="AJ2" s="20"/>
      <c r="AK2" s="20"/>
      <c r="AL2" s="20"/>
      <c r="AM2" s="20"/>
      <c r="AN2" s="20"/>
      <c r="AO2" s="20"/>
      <c r="AP2" s="20"/>
      <c r="AQ2" s="20"/>
      <c r="AR2" s="21"/>
      <c r="AS2" s="21"/>
      <c r="AU2" s="21"/>
      <c r="AV2" s="21"/>
      <c r="AW2" s="21"/>
      <c r="AX2" s="22"/>
      <c r="AY2" s="23"/>
      <c r="AZ2" s="23"/>
      <c r="BA2" s="23"/>
    </row>
    <row r="3" customFormat="false" ht="12.8" hidden="false" customHeight="false" outlineLevel="0" collapsed="false">
      <c r="B3" s="1" t="s">
        <v>4</v>
      </c>
      <c r="F3" s="34"/>
      <c r="G3" s="15"/>
      <c r="H3" s="15"/>
      <c r="I3" s="15"/>
      <c r="J3" s="15"/>
      <c r="L3" s="15"/>
      <c r="AA3" s="11"/>
      <c r="AB3" s="11"/>
      <c r="AC3" s="11"/>
      <c r="AD3" s="13"/>
      <c r="AE3" s="13"/>
      <c r="AF3" s="13"/>
      <c r="AG3" s="13"/>
      <c r="AH3" s="19"/>
      <c r="AI3" s="19"/>
      <c r="AJ3" s="11"/>
      <c r="AK3" s="20"/>
      <c r="AL3" s="20"/>
      <c r="AM3" s="20"/>
      <c r="AN3" s="11"/>
      <c r="AO3" s="11"/>
      <c r="AP3" s="11"/>
      <c r="AQ3" s="11"/>
      <c r="AR3" s="21"/>
      <c r="AS3" s="21"/>
      <c r="AU3" s="21"/>
      <c r="AV3" s="21"/>
      <c r="AW3" s="21"/>
      <c r="AX3" s="22"/>
      <c r="AY3" s="23"/>
      <c r="AZ3" s="23"/>
      <c r="BA3" s="23"/>
    </row>
    <row r="4" customFormat="false" ht="12.8" hidden="false" customHeight="false" outlineLevel="0" collapsed="false">
      <c r="A4" s="35" t="n">
        <v>440</v>
      </c>
      <c r="B4" s="36" t="s">
        <v>5</v>
      </c>
      <c r="C4" s="15" t="s">
        <v>6</v>
      </c>
      <c r="F4" s="37"/>
      <c r="K4" s="16"/>
      <c r="P4" s="1"/>
      <c r="AA4" s="11"/>
      <c r="AB4" s="11"/>
      <c r="AC4" s="11"/>
      <c r="AD4" s="13"/>
      <c r="AE4" s="13"/>
      <c r="AF4" s="13"/>
      <c r="AG4" s="13"/>
      <c r="AH4" s="19"/>
      <c r="AI4" s="19"/>
      <c r="AJ4" s="11"/>
      <c r="AK4" s="20"/>
      <c r="AL4" s="20"/>
      <c r="AM4" s="20"/>
      <c r="AN4" s="11"/>
      <c r="AO4" s="11"/>
      <c r="AP4" s="11"/>
      <c r="AQ4" s="11"/>
    </row>
    <row r="5" customFormat="false" ht="12.8" hidden="false" customHeight="false" outlineLevel="0" collapsed="false">
      <c r="A5" s="25"/>
      <c r="C5" s="1" t="s">
        <v>7</v>
      </c>
      <c r="K5" s="1"/>
      <c r="P5" s="1"/>
      <c r="U5" s="1"/>
      <c r="AA5" s="11"/>
      <c r="AB5" s="11"/>
      <c r="AC5" s="11"/>
      <c r="AD5" s="13"/>
      <c r="AE5" s="13"/>
      <c r="AF5" s="13"/>
      <c r="AG5" s="13"/>
      <c r="AH5" s="19"/>
      <c r="AI5" s="19"/>
      <c r="AJ5" s="11"/>
      <c r="AK5" s="20"/>
      <c r="AL5" s="20"/>
      <c r="AM5" s="20"/>
      <c r="AN5" s="11"/>
      <c r="AO5" s="11"/>
      <c r="AP5" s="11"/>
      <c r="AQ5" s="11"/>
    </row>
    <row r="6" customFormat="false" ht="12.8" hidden="false" customHeight="false" outlineLevel="0" collapsed="false">
      <c r="A6" s="25" t="n">
        <v>1</v>
      </c>
      <c r="C6" s="1" t="s">
        <v>8</v>
      </c>
      <c r="K6" s="1"/>
      <c r="P6" s="1"/>
      <c r="U6" s="34"/>
      <c r="AA6" s="11"/>
      <c r="AB6" s="11"/>
      <c r="AC6" s="11"/>
      <c r="AD6" s="13"/>
      <c r="AE6" s="13" t="s">
        <v>9</v>
      </c>
      <c r="AF6" s="13"/>
      <c r="AG6" s="13"/>
      <c r="AH6" s="19"/>
      <c r="AI6" s="19"/>
      <c r="AJ6" s="11"/>
      <c r="AK6" s="20"/>
      <c r="AL6" s="20"/>
      <c r="AM6" s="20"/>
      <c r="AN6" s="11"/>
      <c r="AO6" s="11"/>
      <c r="AP6" s="11"/>
      <c r="AQ6" s="11"/>
    </row>
    <row r="7" customFormat="false" ht="12.8" hidden="false" customHeight="false" outlineLevel="0" collapsed="false">
      <c r="A7" s="25"/>
      <c r="C7" s="35" t="str">
        <f aca="false">"Cordes acier par : "&amp;AC61 &amp; ", cordes basses filées de "&amp;Paramètres!D8</f>
        <v>Cordes acier par : Stephen Paulello France, cordes basses filées de cuivre</v>
      </c>
      <c r="K7" s="1"/>
      <c r="O7" s="16" t="s">
        <v>10</v>
      </c>
      <c r="P7" s="12" t="n">
        <f aca="false">P8/G8</f>
        <v>718.336137220011</v>
      </c>
      <c r="U7" s="34" t="str">
        <f aca="false">"Diamètre fil de trait "&amp;Paramètres!D8</f>
        <v>Diamètre fil de trait cuivre</v>
      </c>
      <c r="AA7" s="11"/>
      <c r="AB7" s="11"/>
      <c r="AC7" s="11"/>
      <c r="AD7" s="13"/>
      <c r="AE7" s="13" t="n">
        <f aca="false">(AG61/AG49)^(1/12)</f>
        <v>1.05948712801961</v>
      </c>
      <c r="AF7" s="13" t="n">
        <f aca="false">$AE46*AG$9*SQRT(1+$G46*AG$9^2)</f>
        <v>369.821913299039</v>
      </c>
      <c r="AG7" s="13"/>
      <c r="AH7" s="19"/>
      <c r="AI7" s="19"/>
      <c r="AJ7" s="11"/>
      <c r="AK7" s="20"/>
      <c r="AL7" s="20"/>
      <c r="AM7" s="20"/>
      <c r="AN7" s="11"/>
      <c r="AO7" s="11"/>
      <c r="AP7" s="11"/>
      <c r="AQ7" s="11"/>
    </row>
    <row r="8" customFormat="false" ht="12.8" hidden="false" customHeight="false" outlineLevel="0" collapsed="false">
      <c r="D8" s="38"/>
      <c r="G8" s="12" t="n">
        <f aca="false">SUM(G13:G115)</f>
        <v>228</v>
      </c>
      <c r="K8" s="1"/>
      <c r="O8" s="16" t="s">
        <v>11</v>
      </c>
      <c r="P8" s="12" t="n">
        <f aca="false">SUM(P13:P115)</f>
        <v>163780.639286163</v>
      </c>
      <c r="S8" s="39"/>
      <c r="T8" s="39"/>
      <c r="U8" s="40" t="s">
        <v>12</v>
      </c>
      <c r="V8" s="41"/>
      <c r="W8" s="42"/>
      <c r="X8" s="43" t="s">
        <v>13</v>
      </c>
      <c r="Y8" s="44"/>
      <c r="Z8" s="45"/>
      <c r="AA8" s="46"/>
      <c r="AB8" s="46"/>
      <c r="AC8" s="46"/>
      <c r="AD8" s="47"/>
      <c r="AE8" s="47" t="s">
        <v>14</v>
      </c>
      <c r="AF8" s="47"/>
      <c r="AG8" s="47" t="s">
        <v>15</v>
      </c>
      <c r="AH8" s="48"/>
      <c r="AI8" s="48"/>
      <c r="AJ8" s="46"/>
      <c r="AK8" s="20"/>
      <c r="AL8" s="20"/>
      <c r="AM8" s="20"/>
      <c r="AN8" s="46"/>
      <c r="AO8" s="46"/>
      <c r="AP8" s="46"/>
      <c r="AQ8" s="46"/>
    </row>
    <row r="9" customFormat="false" ht="48.9" hidden="false" customHeight="true" outlineLevel="0" collapsed="false">
      <c r="A9" s="49" t="s">
        <v>16</v>
      </c>
      <c r="B9" s="49" t="s">
        <v>17</v>
      </c>
      <c r="C9" s="50" t="s">
        <v>18</v>
      </c>
      <c r="D9" s="50" t="s">
        <v>19</v>
      </c>
      <c r="E9" s="50" t="s">
        <v>20</v>
      </c>
      <c r="F9" s="51" t="s">
        <v>21</v>
      </c>
      <c r="G9" s="50" t="s">
        <v>22</v>
      </c>
      <c r="H9" s="50" t="s">
        <v>23</v>
      </c>
      <c r="I9" s="50" t="s">
        <v>24</v>
      </c>
      <c r="J9" s="50" t="s">
        <v>25</v>
      </c>
      <c r="K9" s="50" t="s">
        <v>26</v>
      </c>
      <c r="L9" s="50" t="s">
        <v>27</v>
      </c>
      <c r="M9" s="50" t="s">
        <v>28</v>
      </c>
      <c r="N9" s="50" t="s">
        <v>29</v>
      </c>
      <c r="O9" s="50" t="s">
        <v>30</v>
      </c>
      <c r="P9" s="50" t="s">
        <v>31</v>
      </c>
      <c r="Q9" s="52" t="s">
        <v>32</v>
      </c>
      <c r="R9" s="53" t="s">
        <v>33</v>
      </c>
      <c r="S9" s="54" t="s">
        <v>21</v>
      </c>
      <c r="T9" s="54" t="s">
        <v>34</v>
      </c>
      <c r="U9" s="55" t="s">
        <v>35</v>
      </c>
      <c r="V9" s="55" t="s">
        <v>36</v>
      </c>
      <c r="W9" s="49" t="s">
        <v>37</v>
      </c>
      <c r="X9" s="56" t="s">
        <v>38</v>
      </c>
      <c r="Y9" s="57" t="s">
        <v>39</v>
      </c>
      <c r="Z9" s="56" t="s">
        <v>40</v>
      </c>
      <c r="AB9" s="58"/>
      <c r="AC9" s="58" t="s">
        <v>41</v>
      </c>
      <c r="AD9" s="59" t="s">
        <v>42</v>
      </c>
      <c r="AE9" s="60" t="s">
        <v>43</v>
      </c>
      <c r="AF9" s="61" t="n">
        <v>2</v>
      </c>
      <c r="AG9" s="61" t="n">
        <v>1</v>
      </c>
      <c r="AH9" s="62" t="s">
        <v>44</v>
      </c>
      <c r="AI9" s="62" t="s">
        <v>45</v>
      </c>
      <c r="AJ9" s="58" t="s">
        <v>46</v>
      </c>
      <c r="AK9" s="58" t="s">
        <v>47</v>
      </c>
      <c r="AL9" s="58" t="s">
        <v>48</v>
      </c>
      <c r="AM9" s="58" t="s">
        <v>49</v>
      </c>
      <c r="AN9" s="58" t="s">
        <v>50</v>
      </c>
      <c r="AO9" s="58" t="s">
        <v>51</v>
      </c>
      <c r="AP9" s="58" t="s">
        <v>52</v>
      </c>
      <c r="AQ9" s="58" t="s">
        <v>53</v>
      </c>
      <c r="AR9" s="63" t="s">
        <v>54</v>
      </c>
      <c r="AS9" s="63" t="s">
        <v>55</v>
      </c>
      <c r="AT9" s="63" t="s">
        <v>56</v>
      </c>
      <c r="AU9" s="64" t="s">
        <v>57</v>
      </c>
      <c r="AV9" s="64" t="s">
        <v>58</v>
      </c>
      <c r="AW9" s="64" t="s">
        <v>59</v>
      </c>
      <c r="AX9" s="65" t="s">
        <v>60</v>
      </c>
      <c r="AY9" s="66" t="s">
        <v>61</v>
      </c>
      <c r="AZ9" s="66" t="s">
        <v>62</v>
      </c>
      <c r="BA9" s="59" t="s">
        <v>63</v>
      </c>
      <c r="BB9" s="49" t="s">
        <v>64</v>
      </c>
      <c r="BC9" s="49" t="s">
        <v>65</v>
      </c>
      <c r="BD9" s="49" t="s">
        <v>66</v>
      </c>
      <c r="BE9" s="49" t="s">
        <v>67</v>
      </c>
      <c r="BF9" s="49" t="s">
        <v>68</v>
      </c>
      <c r="BG9" s="1" t="s">
        <v>69</v>
      </c>
    </row>
    <row r="10" customFormat="false" ht="12.8" hidden="false" customHeight="false" outlineLevel="0" collapsed="false">
      <c r="A10" s="7" t="s">
        <v>70</v>
      </c>
      <c r="C10" s="67" t="s">
        <v>71</v>
      </c>
      <c r="D10" s="68"/>
      <c r="E10" s="68"/>
      <c r="F10" s="69"/>
      <c r="G10" s="68"/>
      <c r="H10" s="68"/>
      <c r="I10" s="68"/>
      <c r="J10" s="68"/>
      <c r="K10" s="70" t="n">
        <v>-0.2</v>
      </c>
      <c r="L10" s="68"/>
      <c r="M10" s="68"/>
      <c r="N10" s="68"/>
      <c r="O10" s="68" t="n">
        <v>0</v>
      </c>
      <c r="P10" s="68"/>
      <c r="Q10" s="71"/>
      <c r="R10" s="72"/>
      <c r="S10" s="69"/>
      <c r="T10" s="69"/>
      <c r="U10" s="73"/>
      <c r="V10" s="73"/>
      <c r="W10" s="68"/>
      <c r="X10" s="74"/>
      <c r="Y10" s="75"/>
      <c r="Z10" s="74"/>
      <c r="AB10" s="58"/>
      <c r="AC10" s="58"/>
      <c r="AD10" s="59"/>
      <c r="AE10" s="59"/>
      <c r="AF10" s="59"/>
      <c r="AG10" s="59"/>
      <c r="AH10" s="62"/>
      <c r="AI10" s="62"/>
      <c r="AJ10" s="58"/>
      <c r="AK10" s="58"/>
      <c r="AL10" s="58"/>
      <c r="AM10" s="58"/>
      <c r="AN10" s="58"/>
      <c r="AO10" s="58"/>
      <c r="AP10" s="58"/>
      <c r="AQ10" s="58"/>
      <c r="AR10" s="63"/>
      <c r="AS10" s="63"/>
      <c r="AT10" s="63"/>
      <c r="AU10" s="64"/>
      <c r="AV10" s="64"/>
      <c r="AW10" s="64"/>
      <c r="AX10" s="65"/>
      <c r="AY10" s="66"/>
      <c r="AZ10" s="66"/>
      <c r="BA10" s="59"/>
      <c r="BB10" s="49"/>
      <c r="BC10" s="49"/>
      <c r="BD10" s="49"/>
      <c r="BE10" s="49"/>
      <c r="BF10" s="49"/>
    </row>
    <row r="11" customFormat="false" ht="12.8" hidden="false" customHeight="false" outlineLevel="0" collapsed="false">
      <c r="A11" s="7" t="s">
        <v>72</v>
      </c>
      <c r="C11" s="67" t="s">
        <v>71</v>
      </c>
      <c r="D11" s="68"/>
      <c r="E11" s="68"/>
      <c r="F11" s="69"/>
      <c r="G11" s="68"/>
      <c r="H11" s="68"/>
      <c r="I11" s="68"/>
      <c r="J11" s="68"/>
      <c r="K11" s="70" t="n">
        <v>0.8</v>
      </c>
      <c r="L11" s="68"/>
      <c r="M11" s="70" t="n">
        <v>0.8</v>
      </c>
      <c r="N11" s="68"/>
      <c r="O11" s="68" t="n">
        <v>1000</v>
      </c>
      <c r="P11" s="68"/>
      <c r="Q11" s="71"/>
      <c r="R11" s="72"/>
      <c r="S11" s="69"/>
      <c r="T11" s="69"/>
      <c r="U11" s="73"/>
      <c r="V11" s="73"/>
      <c r="W11" s="68"/>
      <c r="X11" s="74"/>
      <c r="Y11" s="75"/>
      <c r="Z11" s="74"/>
      <c r="AB11" s="58"/>
      <c r="AC11" s="58"/>
      <c r="AD11" s="59"/>
      <c r="AE11" s="59"/>
      <c r="AF11" s="59"/>
      <c r="AG11" s="59"/>
      <c r="AH11" s="62"/>
      <c r="AI11" s="62"/>
      <c r="AJ11" s="58"/>
      <c r="AK11" s="58"/>
      <c r="AL11" s="58"/>
      <c r="AM11" s="58"/>
      <c r="AN11" s="58"/>
      <c r="AO11" s="58"/>
      <c r="AP11" s="58"/>
      <c r="AQ11" s="58"/>
      <c r="AR11" s="63"/>
      <c r="AS11" s="63"/>
      <c r="AT11" s="63"/>
      <c r="AU11" s="64"/>
      <c r="AV11" s="64"/>
      <c r="AW11" s="64"/>
      <c r="AX11" s="65"/>
      <c r="AY11" s="66"/>
      <c r="AZ11" s="66"/>
      <c r="BA11" s="59"/>
      <c r="BB11" s="49"/>
      <c r="BC11" s="49"/>
      <c r="BD11" s="49"/>
      <c r="BE11" s="49"/>
      <c r="BF11" s="49"/>
    </row>
    <row r="12" customFormat="false" ht="12.8" hidden="false" customHeight="false" outlineLevel="0" collapsed="false">
      <c r="A12" s="76"/>
      <c r="C12" s="50"/>
      <c r="D12" s="50"/>
      <c r="E12" s="50"/>
      <c r="F12" s="51"/>
      <c r="G12" s="50"/>
      <c r="H12" s="50"/>
      <c r="I12" s="50"/>
      <c r="J12" s="50"/>
      <c r="K12" s="50"/>
      <c r="L12" s="50"/>
      <c r="M12" s="77"/>
      <c r="N12" s="50"/>
      <c r="O12" s="78"/>
      <c r="P12" s="50"/>
      <c r="Q12" s="52"/>
      <c r="R12" s="53"/>
      <c r="S12" s="54"/>
      <c r="T12" s="54"/>
      <c r="U12" s="55"/>
      <c r="V12" s="55"/>
      <c r="W12" s="49"/>
      <c r="X12" s="56"/>
      <c r="Y12" s="57"/>
      <c r="Z12" s="56"/>
      <c r="AB12" s="58"/>
      <c r="AC12" s="58"/>
      <c r="AD12" s="59"/>
      <c r="AE12" s="59"/>
      <c r="AF12" s="59"/>
      <c r="AG12" s="59"/>
      <c r="AH12" s="62"/>
      <c r="AI12" s="62"/>
      <c r="AJ12" s="58"/>
      <c r="AK12" s="58"/>
      <c r="AL12" s="58"/>
      <c r="AM12" s="58"/>
      <c r="AN12" s="58"/>
      <c r="AO12" s="58"/>
      <c r="AP12" s="58"/>
      <c r="AQ12" s="58"/>
      <c r="AR12" s="63"/>
      <c r="AS12" s="63"/>
      <c r="AT12" s="63"/>
      <c r="AU12" s="64"/>
      <c r="AV12" s="64"/>
      <c r="AW12" s="64"/>
      <c r="AX12" s="65"/>
      <c r="AY12" s="66"/>
      <c r="AZ12" s="66"/>
      <c r="BA12" s="59"/>
      <c r="BB12" s="49"/>
      <c r="BC12" s="49"/>
      <c r="BD12" s="49"/>
      <c r="BE12" s="49"/>
      <c r="BF12" s="49"/>
    </row>
    <row r="13" customFormat="false" ht="12.8" hidden="false" customHeight="false" outlineLevel="0" collapsed="false">
      <c r="A13" s="79" t="n">
        <f aca="false">IF(ISBLANK(D13),"-",IF(AND($A$6,$A$4/2&lt;AD13),AG13,AD13))</f>
        <v>27.5</v>
      </c>
      <c r="B13" s="79" t="str">
        <f aca="false">IF(ISBLANK(D13),"",VLOOKUP(MOD(C13-Paramètres!$B$54,12)+1,Paramètres!$B$40:$C$52,2)&amp;" "&amp;(TRUNC((C13-Paramètres!$B$54+120)/12)-10+1))</f>
        <v>La -1</v>
      </c>
      <c r="C13" s="35" t="n">
        <v>1</v>
      </c>
      <c r="D13" s="25" t="n">
        <v>1177</v>
      </c>
      <c r="E13" s="6" t="n">
        <v>1</v>
      </c>
      <c r="F13" s="6" t="n">
        <v>6</v>
      </c>
      <c r="G13" s="25" t="n">
        <v>1</v>
      </c>
      <c r="H13" s="25" t="s">
        <v>73</v>
      </c>
      <c r="I13" s="80" t="n">
        <f aca="false">IF(ISBLANK(D13),"",IF(F13&gt;0,AU13/AT13,AM13))</f>
        <v>0.607140713775473</v>
      </c>
      <c r="J13" s="81" t="str">
        <f aca="false">IF(ISBLANK(D13),"",IF(AQ13,"","]"&amp;AO13&amp;" -- "&amp;AP13&amp;"["))</f>
        <v/>
      </c>
      <c r="K13" s="80"/>
      <c r="L13" s="82" t="n">
        <f aca="false">IF(ISBLANK(D13),"",IF(F13&gt;0,BF13,BF13))</f>
        <v>8.44516834748173E-005</v>
      </c>
      <c r="M13" s="80" t="str">
        <f aca="false">IF(ISBLANK(D13),"",IF(F13&gt;0,"-",N13/(2^(1/12)-1)))</f>
        <v>-</v>
      </c>
      <c r="N13" s="83" t="str">
        <f aca="false">IF(ISBLANK(D13),"",IF(F13&gt;0,"-",1.5*L13))</f>
        <v>-</v>
      </c>
      <c r="O13" s="12" t="n">
        <f aca="false">IF(ISBLANK(D13),"",IF(F13&gt;0,AU13,AK13))</f>
        <v>836.488118404158</v>
      </c>
      <c r="P13" s="12" t="n">
        <f aca="false">IF(ISBLANK(D13),"",IF(F13&gt;0,AU13*G13,AL13))</f>
        <v>836.488118404158</v>
      </c>
      <c r="Q13" s="84" t="n">
        <v>0.6</v>
      </c>
      <c r="R13" s="12" t="n">
        <f aca="false">IF(ISBLANK(D13),"",AT13*Q13)</f>
        <v>826.65</v>
      </c>
      <c r="S13" s="13" t="n">
        <f aca="false">IF(ISBLANK(D13),"",AJ13)</f>
        <v>5.96449810929795</v>
      </c>
      <c r="T13" s="85" t="n">
        <f aca="false">IF(ISBLANK(F13),"",ROUND(S13*10*G13,0)/10/G13)</f>
        <v>6</v>
      </c>
      <c r="U13" s="86" t="n">
        <f aca="false">IF(F13&gt;0,(AJ13-E13)/2,"")</f>
        <v>2.48224905464898</v>
      </c>
      <c r="V13" s="86" t="n">
        <f aca="false">IF(F13&gt;0,AN13,"")</f>
        <v>2.84107667604608</v>
      </c>
      <c r="W13" s="87" t="str">
        <f aca="false">IF(F13&gt;0,IF(U13&lt;Paramètres!$B$5,"!!!",""),"")</f>
        <v/>
      </c>
      <c r="X13" s="88" t="n">
        <f aca="false">IF(U13&lt;&gt;"",IF(U13/3&gt;=Paramètres!$B$5,(S13-E13)/2/3,""),"")</f>
        <v>0.827416351549659</v>
      </c>
      <c r="Y13" s="88" t="n">
        <f aca="false">IF(U13&lt;&gt;"",IF(U13/3&gt;=Paramètres!$B$5,AV13,""),"")</f>
        <v>0.908503154001525</v>
      </c>
      <c r="Z13" s="88" t="n">
        <f aca="false">IF(X13&lt;&gt;"",Y13*2,"")</f>
        <v>1.81700630800305</v>
      </c>
      <c r="AB13" s="1"/>
      <c r="AC13" s="79" t="str">
        <f aca="false">INDEX('Charge de rupture par diamètre'!$C$1:$AC$1,AR13)</f>
        <v>Stephen Paulello France</v>
      </c>
      <c r="AD13" s="13" t="n">
        <f aca="false">IF(ISBLANK(D13),"-",$A$4/16 * 2^((C13-1)/12))</f>
        <v>27.5</v>
      </c>
      <c r="AE13" s="13" t="n">
        <f aca="false">AF13/(AF$9*SQRT(1+$L13*AF$9^2))</f>
        <v>82.4254437255136</v>
      </c>
      <c r="AF13" s="59" t="n">
        <f aca="false">AG25</f>
        <v>164.878728969898</v>
      </c>
      <c r="AG13" s="59" t="n">
        <f aca="false">$AE13*AG$9*SQRT(1+$G13*AG$9^2)</f>
        <v>116.567180401242</v>
      </c>
      <c r="AH13" s="89" t="n">
        <f aca="false">AD13</f>
        <v>27.5</v>
      </c>
      <c r="AI13" s="19" t="e">
        <f aca="false">IF(AND(C13&gt;12,F1="",AD13&gt;$A$4),AH1*2*(1+N1),IF(AD13&gt;=$A$4/2,AD13,AH25/2/(1+N13)))</f>
        <v>#VALUE!</v>
      </c>
      <c r="AJ13" s="85" t="n">
        <f aca="false">IF(Q13&gt;0,((R13*10^12/PI()/A13^2/D13^2-Paramètres!$B$7*E13^2)*4/PI()/Paramètres!$B$8+E13^2)^0.5,"")</f>
        <v>5.96449810929795</v>
      </c>
      <c r="AK13" s="12" t="n">
        <f aca="false">PI()*Paramètres!$B$7*(E13*A13*D13)^2/10^12</f>
        <v>25.8367476114579</v>
      </c>
      <c r="AL13" s="12" t="n">
        <f aca="false">AK13*G13</f>
        <v>25.8367476114579</v>
      </c>
      <c r="AM13" s="80" t="n">
        <f aca="false">AK13/AT13</f>
        <v>0.0187528561868684</v>
      </c>
      <c r="AN13" s="85" t="n">
        <f aca="false">(-E13+0.1*Paramètres!$B$7/E13/Paramètres!$B$8/PI()*(AW13^2-E13^2)+(E13^2+3.8*Paramètres!$B$7/Paramètres!$B$8/PI()*(AW13^2-E13^2))^0.5)/2</f>
        <v>2.84107667604608</v>
      </c>
      <c r="AO13" s="85" t="n">
        <f aca="false">VLOOKUP(C13,Paramètres!$C$30:$F$37,2,1)</f>
        <v>0.5</v>
      </c>
      <c r="AP13" s="85" t="n">
        <f aca="false">VLOOKUP(C13,Paramètres!$C$30:$F$37,4,1)</f>
        <v>0.65</v>
      </c>
      <c r="AQ13" s="11" t="b">
        <f aca="false">AND(I13&gt;=AO13,I13&lt;=AP13)</f>
        <v>1</v>
      </c>
      <c r="AR13" s="12" t="n">
        <f aca="false">HLOOKUP(H13,'Charge de rupture par diamètre'!$D$16:$AC$17,2,0)</f>
        <v>3</v>
      </c>
      <c r="AS13" s="12" t="n">
        <f aca="false">VLOOKUP(E13,'Charge de rupture par diamètre'!$C$16:$AC$53,AR13,1)</f>
        <v>1837</v>
      </c>
      <c r="AT13" s="12" t="n">
        <f aca="false">AS13*Paramètres!$B$9</f>
        <v>1377.75</v>
      </c>
      <c r="AU13" s="79" t="n">
        <f aca="false">PI()*A13^2*D13^2*(Paramètres!$B$7*E13^2+Paramètres!$B$8*PI()/4*(F13^2-E13^2))/10^12</f>
        <v>836.488118404158</v>
      </c>
      <c r="AV13" s="13" t="n">
        <f aca="false">0.183*(-E13+(E13^2+4*Paramètres!$B$7/PI()/Paramètres!$B$8*(AW13^2-E13^2))^0.5)</f>
        <v>0.908503154001525</v>
      </c>
      <c r="AW13" s="85" t="n">
        <f aca="false">(R13/PI()/Paramètres!$B$7)^0.5/A13/D13*10^6</f>
        <v>5.6564234445015</v>
      </c>
      <c r="AX13" s="12" t="e">
        <f aca="false">Q13*VLOOKUP(H13,Paramètres!$B$15:$C$18,2,0)*Paramètres!$B$9</f>
        <v>#N/A</v>
      </c>
      <c r="AY13" s="13" t="e">
        <f aca="false">(AX13/PI()/Paramètres!$B$7)^0.5/A13/D13*10^6</f>
        <v>#N/A</v>
      </c>
      <c r="AZ13" s="12" t="n">
        <f aca="false">(IF(F13&gt;0,(F13*F13 -E13*E13)/Paramètres!$B$7*Paramètres!$B$8,0)+E13*E13)*D13*G13</f>
        <v>48197.025477707</v>
      </c>
      <c r="BB13" s="80" t="str">
        <f aca="false">IF(F13&gt;0,"",0.234*Paramètres!$B$12*10^9*IF(F13&gt;0,E13,E13)^2/Paramètres!$B$7/A13^2/D13^4*10^6)</f>
        <v/>
      </c>
      <c r="BC13" s="11" t="n">
        <v>2</v>
      </c>
      <c r="BD13" s="80" t="n">
        <f aca="false">BC13*SQRT(1+L13*BC13^2)-BC13</f>
        <v>0.00033777821036951</v>
      </c>
      <c r="BE13" s="11" t="n">
        <f aca="false">IF(F13&gt;0,PI()^2*Paramètres!$B$12*10^9/8/O13*(E13^4+E13^2*F13^2)*10^-12/D13^2/10^-6,"-")</f>
        <v>0.00795701450344999</v>
      </c>
      <c r="BF13" s="11" t="n">
        <f aca="false">IF(ISBLANK(D13),"-",PI()^3*E13^4*Paramètres!$B$12*10^9/64/O13/(D13/1000)^2*10^-12)</f>
        <v>8.44516834748173E-005</v>
      </c>
      <c r="BG13" s="90" t="n">
        <f aca="false">(Paramètres!$B$12*10^9)^0.5/Paramètres!$B$7/2/D13*1000</f>
        <v>24.3220159795705</v>
      </c>
    </row>
    <row r="14" customFormat="false" ht="12.8" hidden="false" customHeight="false" outlineLevel="0" collapsed="false">
      <c r="A14" s="79" t="n">
        <f aca="false">IF(ISBLANK(D14),"-",IF(AND($A$6,$A$4/2&lt;AD14),AG14,AD14))</f>
        <v>29.1352350948806</v>
      </c>
      <c r="B14" s="79" t="str">
        <f aca="false">IF(ISBLANK(D14),"",VLOOKUP(MOD(C14-Paramètres!$B$54,12)+1,Paramètres!$B$40:$C$52,2)&amp;" "&amp;(TRUNC((C14-Paramètres!$B$54+120)/12)-10+1))</f>
        <v>La# -1</v>
      </c>
      <c r="C14" s="11" t="n">
        <f aca="false">IF(ISBLANK(D14),"",C13+1)</f>
        <v>2</v>
      </c>
      <c r="D14" s="25" t="n">
        <v>1174</v>
      </c>
      <c r="E14" s="6" t="n">
        <v>1</v>
      </c>
      <c r="F14" s="6" t="n">
        <v>5.6</v>
      </c>
      <c r="G14" s="25" t="n">
        <v>1</v>
      </c>
      <c r="H14" s="25" t="s">
        <v>73</v>
      </c>
      <c r="I14" s="80" t="n">
        <f aca="false">IF(ISBLANK(D14),"",IF(F14&gt;0,AU14/AT14,AM14))</f>
        <v>0.590912676673444</v>
      </c>
      <c r="J14" s="81" t="str">
        <f aca="false">IF(ISBLANK(D14),"",IF(AQ14,"","]"&amp;AO14&amp;" -- "&amp;AP14&amp;"["))</f>
        <v/>
      </c>
      <c r="K14" s="80" t="n">
        <f aca="false">IF(ISBLANK(D14),"",BA14)</f>
        <v>-0.131553155287619</v>
      </c>
      <c r="L14" s="82" t="n">
        <f aca="false">IF(ISBLANK(D14),"",IF(F14&gt;0,BF14,BF14))</f>
        <v>8.72149815300638E-005</v>
      </c>
      <c r="M14" s="80" t="str">
        <f aca="false">IF(ISBLANK(D14),"",IF(F14&gt;0,"-",N14/(2^(1/12)-1)))</f>
        <v>-</v>
      </c>
      <c r="N14" s="83" t="str">
        <f aca="false">IF(ISBLANK(D14),"",IF(F14&gt;0,"-",1.5*L14))</f>
        <v>-</v>
      </c>
      <c r="O14" s="12" t="n">
        <f aca="false">IF(ISBLANK(D14),"",IF(F14&gt;0,AU14,AK14))</f>
        <v>814.129940286837</v>
      </c>
      <c r="P14" s="12" t="n">
        <f aca="false">IF(ISBLANK(D14),"",IF(F14&gt;0,AU14*G14,AL14))</f>
        <v>814.129940286837</v>
      </c>
      <c r="Q14" s="84" t="n">
        <v>0.6</v>
      </c>
      <c r="R14" s="12" t="n">
        <f aca="false">IF(ISBLANK(D14),"",AT14*Q14)</f>
        <v>826.65</v>
      </c>
      <c r="S14" s="13" t="n">
        <f aca="false">IF(ISBLANK(D14),"",AJ14)</f>
        <v>5.64305277404427</v>
      </c>
      <c r="T14" s="85" t="n">
        <f aca="false">IF(ISBLANK(F14),"",ROUND(S14*10*G14,0)/10/G14)</f>
        <v>5.6</v>
      </c>
      <c r="U14" s="86" t="n">
        <f aca="false">IF(F14&gt;0,(AJ14-E14)/2,"")</f>
        <v>2.32152638702213</v>
      </c>
      <c r="V14" s="86" t="n">
        <f aca="false">IF(F14&gt;0,AN14,"")</f>
        <v>2.63790602069181</v>
      </c>
      <c r="W14" s="87" t="str">
        <f aca="false">IF(F14&gt;0,IF(U14&lt;Paramètres!$B$5,"!!!",""),"")</f>
        <v/>
      </c>
      <c r="X14" s="88" t="n">
        <f aca="false">IF(U14&lt;&gt;"",IF(U14/3&gt;=Paramètres!$B$5,(S14-E14)/2/3,""),"")</f>
        <v>0.773842129007378</v>
      </c>
      <c r="Y14" s="88" t="n">
        <f aca="false">IF(U14&lt;&gt;"",IF(U14/3&gt;=Paramètres!$B$5,AV14,""),"")</f>
        <v>0.8496786576501</v>
      </c>
      <c r="Z14" s="88" t="n">
        <f aca="false">IF(X14&lt;&gt;"",Y14*2,"")</f>
        <v>1.6993573153002</v>
      </c>
      <c r="AB14" s="1"/>
      <c r="AC14" s="79" t="str">
        <f aca="false">INDEX('Charge de rupture par diamètre'!$C$1:$AC$1,AR14)</f>
        <v>Stephen Paulello France</v>
      </c>
      <c r="AD14" s="13" t="n">
        <f aca="false">IF(ISBLANK(D14),"-",$A$4/16 * 2^((C14-1)/12))</f>
        <v>29.1352350948806</v>
      </c>
      <c r="AE14" s="13" t="n">
        <f aca="false">AF14/(AF$9*SQRT(1+$L14*AF$9^2))</f>
        <v>87.3274979038914</v>
      </c>
      <c r="AF14" s="59" t="n">
        <f aca="false">AG26</f>
        <v>174.685458215703</v>
      </c>
      <c r="AG14" s="59" t="n">
        <f aca="false">$AE14*AG$9*SQRT(1+$G14*AG$9^2)</f>
        <v>123.499731903791</v>
      </c>
      <c r="AH14" s="19" t="n">
        <f aca="false">IF(AND(C14&gt;12,F2="",AD14&gt;$A$4),AH2*2*(1+N2),IF(AD14&gt;=$A$4/2,AD14,AD14))</f>
        <v>29.1352350948806</v>
      </c>
      <c r="AI14" s="19" t="e">
        <f aca="false">IF(AND(C14&gt;12,F2="",AD14&gt;$A$4),AH2*2*(1+N2),IF(AD14&gt;=$A$4/2,AD14,AH26/2/(1+N14)))</f>
        <v>#VALUE!</v>
      </c>
      <c r="AJ14" s="85" t="n">
        <f aca="false">IF(Q14&gt;0,((R14*10^12/PI()/A14^2/D14^2-Paramètres!$B$7*E14^2)*4/PI()/Paramètres!$B$8+E14^2)^0.5,"")</f>
        <v>5.64305277404427</v>
      </c>
      <c r="AK14" s="12" t="n">
        <f aca="false">PI()*Paramètres!$B$7*(E14*A14*D14)^2/10^12</f>
        <v>28.8531196602366</v>
      </c>
      <c r="AL14" s="12" t="n">
        <f aca="false">AK14*G14</f>
        <v>28.8531196602366</v>
      </c>
      <c r="AM14" s="80" t="n">
        <f aca="false">AK14/AT14</f>
        <v>0.0209422026203858</v>
      </c>
      <c r="AN14" s="85" t="n">
        <f aca="false">(-E14+0.1*Paramètres!$B$7/E14/Paramètres!$B$8/PI()*(AW14^2-E14^2)+(E14^2+3.8*Paramètres!$B$7/Paramètres!$B$8/PI()*(AW14^2-E14^2))^0.5)/2</f>
        <v>2.63790602069181</v>
      </c>
      <c r="AO14" s="85" t="n">
        <f aca="false">VLOOKUP(C14,Paramètres!$C$30:$F$37,2,1)</f>
        <v>0.5</v>
      </c>
      <c r="AP14" s="85" t="n">
        <f aca="false">VLOOKUP(C14,Paramètres!$C$30:$F$37,4,1)</f>
        <v>0.65</v>
      </c>
      <c r="AQ14" s="11" t="b">
        <f aca="false">AND(I14&gt;=AO14,I14&lt;=AP14)</f>
        <v>1</v>
      </c>
      <c r="AR14" s="12" t="n">
        <f aca="false">HLOOKUP(H14,'Charge de rupture par diamètre'!$D$16:$AC$17,2,0)</f>
        <v>3</v>
      </c>
      <c r="AS14" s="12" t="n">
        <f aca="false">VLOOKUP(E14,'Charge de rupture par diamètre'!$C$16:$AC$53,AR14,1)</f>
        <v>1837</v>
      </c>
      <c r="AT14" s="12" t="n">
        <f aca="false">AS14*Paramètres!$B$9</f>
        <v>1377.75</v>
      </c>
      <c r="AU14" s="79" t="n">
        <f aca="false">PI()*A14^2*D14^2*(Paramètres!$B$7*E14^2+Paramètres!$B$8*PI()/4*(F14^2-E14^2))/10^12</f>
        <v>814.129940286837</v>
      </c>
      <c r="AV14" s="13" t="n">
        <f aca="false">0.183*(-E14+(E14^2+4*Paramètres!$B$7/PI()/Paramètres!$B$8*(AW14^2-E14^2))^0.5)</f>
        <v>0.8496786576501</v>
      </c>
      <c r="AW14" s="85" t="n">
        <f aca="false">(R14/PI()/Paramètres!$B$7)^0.5/A14/D14*10^6</f>
        <v>5.35259577079004</v>
      </c>
      <c r="AX14" s="12" t="e">
        <f aca="false">Q14*VLOOKUP(H14,Paramètres!$B$15:$C$18,2,0)*Paramètres!$B$9</f>
        <v>#N/A</v>
      </c>
      <c r="AY14" s="13" t="e">
        <f aca="false">(AX14/PI()/Paramètres!$B$7)^0.5/A14/D14*10^6</f>
        <v>#N/A</v>
      </c>
      <c r="AZ14" s="12" t="n">
        <f aca="false">(IF(F14&gt;0,(F14*F14 -E14*E14)/Paramètres!$B$7*Paramètres!$B$8,0)+E14*E14)*D14*G14</f>
        <v>41856.5547006369</v>
      </c>
      <c r="BA14" s="80" t="n">
        <f aca="false">-1+AZ14/AZ13</f>
        <v>-0.131553155287619</v>
      </c>
      <c r="BB14" s="80" t="str">
        <f aca="false">IF(F14&gt;0,"",0.234*Paramètres!$B$12*10^9*IF(F14&gt;0,E14,E14)^2/Paramètres!$B$7/A14^2/D14^4*10^6)</f>
        <v/>
      </c>
      <c r="BC14" s="11" t="n">
        <v>2</v>
      </c>
      <c r="BD14" s="80" t="n">
        <f aca="false">BC14*SQRT(1+L14*BC14^2)-BC14</f>
        <v>0.000348829505614212</v>
      </c>
      <c r="BE14" s="11" t="n">
        <f aca="false">IF(F14&gt;0,PI()^2*Paramètres!$B$12*10^9/8/O14*(E14^4+E14^2*F14^2)*10^-12/D14^2/10^-6,"-")</f>
        <v>0.00718686886178689</v>
      </c>
      <c r="BF14" s="11" t="n">
        <f aca="false">IF(ISBLANK(D14),"-",PI()^3*E14^4*Paramètres!$B$12*10^9/64/O14/(D14/1000)^2*10^-12)</f>
        <v>8.72149815300638E-005</v>
      </c>
      <c r="BG14" s="90" t="n">
        <f aca="false">(Paramètres!$B$12*10^9)^0.5/Paramètres!$B$7/2/D14*1000</f>
        <v>24.3841676388028</v>
      </c>
    </row>
    <row r="15" customFormat="false" ht="12.8" hidden="false" customHeight="false" outlineLevel="0" collapsed="false">
      <c r="A15" s="79" t="n">
        <f aca="false">IF(ISBLANK(D15),"-",IF(AND($A$6,$A$4/2&lt;AD15),AG15,AD15))</f>
        <v>30.8677063285078</v>
      </c>
      <c r="B15" s="79" t="str">
        <f aca="false">IF(ISBLANK(D15),"",VLOOKUP(MOD(C15-Paramètres!$B$54,12)+1,Paramètres!$B$40:$C$52,2)&amp;" "&amp;(TRUNC((C15-Paramètres!$B$54+120)/12)-10+1))</f>
        <v>Si -1</v>
      </c>
      <c r="C15" s="11" t="n">
        <f aca="false">IF(ISBLANK(D15),"",C14+1)</f>
        <v>3</v>
      </c>
      <c r="D15" s="25" t="n">
        <v>1170</v>
      </c>
      <c r="E15" s="6" t="n">
        <v>1</v>
      </c>
      <c r="F15" s="6" t="n">
        <v>5.3</v>
      </c>
      <c r="G15" s="25" t="n">
        <v>1</v>
      </c>
      <c r="H15" s="25" t="s">
        <v>73</v>
      </c>
      <c r="I15" s="80" t="n">
        <f aca="false">IF(ISBLANK(D15),"",IF(F15&gt;0,AU15/AT15,AM15))</f>
        <v>0.590325680749991</v>
      </c>
      <c r="J15" s="81" t="str">
        <f aca="false">IF(ISBLANK(D15),"",IF(AQ15,"","]"&amp;AO15&amp;" -- "&amp;AP15&amp;"["))</f>
        <v/>
      </c>
      <c r="K15" s="80" t="n">
        <f aca="false">IF(ISBLANK(D15),"",BA15)</f>
        <v>-0.107736982575634</v>
      </c>
      <c r="L15" s="82" t="n">
        <f aca="false">IF(ISBLANK(D15),"",IF(F15&gt;0,BF15,BF15))</f>
        <v>8.78996597051195E-005</v>
      </c>
      <c r="M15" s="80" t="str">
        <f aca="false">IF(ISBLANK(D15),"",IF(F15&gt;0,"-",N15/(2^(1/12)-1)))</f>
        <v>-</v>
      </c>
      <c r="N15" s="83" t="str">
        <f aca="false">IF(ISBLANK(D15),"",IF(F15&gt;0,"-",1.5*L15))</f>
        <v>-</v>
      </c>
      <c r="O15" s="12" t="n">
        <f aca="false">IF(ISBLANK(D15),"",IF(F15&gt;0,AU15,AK15))</f>
        <v>813.3212066533</v>
      </c>
      <c r="P15" s="12" t="n">
        <f aca="false">IF(ISBLANK(D15),"",IF(F15&gt;0,AU15*G15,AL15))</f>
        <v>813.3212066533</v>
      </c>
      <c r="Q15" s="84" t="n">
        <v>0.6</v>
      </c>
      <c r="R15" s="12" t="n">
        <f aca="false">IF(ISBLANK(D15),"",AT15*Q15)</f>
        <v>826.65</v>
      </c>
      <c r="S15" s="13" t="n">
        <f aca="false">IF(ISBLANK(D15),"",AJ15)</f>
        <v>5.34342912260199</v>
      </c>
      <c r="T15" s="85" t="n">
        <f aca="false">IF(ISBLANK(F15),"",ROUND(S15*10*G15,0)/10/G15)</f>
        <v>5.3</v>
      </c>
      <c r="U15" s="86" t="n">
        <f aca="false">IF(F15&gt;0,(AJ15-E15)/2,"")</f>
        <v>2.17171456130099</v>
      </c>
      <c r="V15" s="86" t="n">
        <f aca="false">IF(F15&gt;0,AN15,"")</f>
        <v>2.4508671610062</v>
      </c>
      <c r="W15" s="87" t="str">
        <f aca="false">IF(F15&gt;0,IF(U15&lt;Paramètres!$B$5,"!!!",""),"")</f>
        <v/>
      </c>
      <c r="X15" s="88" t="n">
        <f aca="false">IF(U15&lt;&gt;"",IF(U15/3&gt;=Paramètres!$B$5,(S15-E15)/2/3,""),"")</f>
        <v>0.723904853766998</v>
      </c>
      <c r="Y15" s="88" t="n">
        <f aca="false">IF(U15&lt;&gt;"",IF(U15/3&gt;=Paramètres!$B$5,AV15,""),"")</f>
        <v>0.794847529436164</v>
      </c>
      <c r="Z15" s="88" t="n">
        <f aca="false">IF(X15&lt;&gt;"",Y15*2,"")</f>
        <v>1.58969505887233</v>
      </c>
      <c r="AB15" s="1"/>
      <c r="AC15" s="79" t="str">
        <f aca="false">INDEX('Charge de rupture par diamètre'!$C$1:$AC$1,AR15)</f>
        <v>Stephen Paulello France</v>
      </c>
      <c r="AD15" s="13" t="n">
        <f aca="false">IF(ISBLANK(D15),"-",$A$4/16 * 2^((C15-1)/12))</f>
        <v>30.8677063285078</v>
      </c>
      <c r="AE15" s="13" t="n">
        <f aca="false">AF15/(AF$9*SQRT(1+$L15*AF$9^2))</f>
        <v>92.5209333634862</v>
      </c>
      <c r="AF15" s="59" t="n">
        <f aca="false">AG27</f>
        <v>185.074394102311</v>
      </c>
      <c r="AG15" s="59" t="n">
        <f aca="false">$AE15*AG$9*SQRT(1+$G15*AG$9^2)</f>
        <v>130.84435876606</v>
      </c>
      <c r="AH15" s="19" t="n">
        <f aca="false">IF(AND(C15&gt;12,F3="",AD15&gt;$A$4),AH3*2*(1+N3),IF(AD15&gt;=$A$4/2,AD15,AD15))</f>
        <v>30.8677063285078</v>
      </c>
      <c r="AI15" s="19" t="e">
        <f aca="false">IF(AND(C15&gt;12,F3="",AD15&gt;$A$4),AH3*2*(1+N3),IF(AD15&gt;=$A$4/2,AD15,AH27/2/(1+N15)))</f>
        <v>#VALUE!</v>
      </c>
      <c r="AJ15" s="85" t="n">
        <f aca="false">IF(Q15&gt;0,((R15*10^12/PI()/A15^2/D15^2-Paramètres!$B$7*E15^2)*4/PI()/Paramètres!$B$8+E15^2)^0.5,"")</f>
        <v>5.34342912260199</v>
      </c>
      <c r="AK15" s="12" t="n">
        <f aca="false">PI()*Paramètres!$B$7*(E15*A15*D15)^2/10^12</f>
        <v>32.1662158905261</v>
      </c>
      <c r="AL15" s="12" t="n">
        <f aca="false">AK15*G15</f>
        <v>32.1662158905261</v>
      </c>
      <c r="AM15" s="80" t="n">
        <f aca="false">AK15/AT15</f>
        <v>0.0233469177213037</v>
      </c>
      <c r="AN15" s="85" t="n">
        <f aca="false">(-E15+0.1*Paramètres!$B$7/E15/Paramètres!$B$8/PI()*(AW15^2-E15^2)+(E15^2+3.8*Paramètres!$B$7/Paramètres!$B$8/PI()*(AW15^2-E15^2))^0.5)/2</f>
        <v>2.4508671610062</v>
      </c>
      <c r="AO15" s="85" t="n">
        <f aca="false">VLOOKUP(C15,Paramètres!$C$30:$F$37,2,1)</f>
        <v>0.5</v>
      </c>
      <c r="AP15" s="85" t="n">
        <f aca="false">VLOOKUP(C15,Paramètres!$C$30:$F$37,4,1)</f>
        <v>0.65</v>
      </c>
      <c r="AQ15" s="11" t="b">
        <f aca="false">AND(I15&gt;=AO15,I15&lt;=AP15)</f>
        <v>1</v>
      </c>
      <c r="AR15" s="12" t="n">
        <f aca="false">HLOOKUP(H15,'Charge de rupture par diamètre'!$D$16:$AC$17,2,0)</f>
        <v>3</v>
      </c>
      <c r="AS15" s="12" t="n">
        <f aca="false">VLOOKUP(E15,'Charge de rupture par diamètre'!$C$16:$AC$53,AR15,1)</f>
        <v>1837</v>
      </c>
      <c r="AT15" s="12" t="n">
        <f aca="false">AS15*Paramètres!$B$9</f>
        <v>1377.75</v>
      </c>
      <c r="AU15" s="79" t="n">
        <f aca="false">PI()*A15^2*D15^2*(Paramètres!$B$7*E15^2+Paramètres!$B$8*PI()/4*(F15^2-E15^2))/10^12</f>
        <v>813.3212066533</v>
      </c>
      <c r="AV15" s="13" t="n">
        <f aca="false">0.183*(-E15+(E15^2+4*Paramètres!$B$7/PI()/Paramètres!$B$8*(AW15^2-E15^2))^0.5)</f>
        <v>0.794847529436164</v>
      </c>
      <c r="AW15" s="85" t="n">
        <f aca="false">(R15/PI()/Paramètres!$B$7)^0.5/A15/D15*10^6</f>
        <v>5.06945005645403</v>
      </c>
      <c r="AX15" s="12" t="e">
        <f aca="false">Q15*VLOOKUP(H15,Paramètres!$B$15:$C$18,2,0)*Paramètres!$B$9</f>
        <v>#N/A</v>
      </c>
      <c r="AY15" s="13" t="e">
        <f aca="false">(AX15/PI()/Paramètres!$B$7)^0.5/A15/D15*10^6</f>
        <v>#N/A</v>
      </c>
      <c r="AZ15" s="12" t="n">
        <f aca="false">(IF(F15&gt;0,(F15*F15 -E15*E15)/Paramètres!$B$7*Paramètres!$B$8,0)+E15*E15)*D15*G15</f>
        <v>37347.0557961783</v>
      </c>
      <c r="BA15" s="80" t="n">
        <f aca="false">-1+AZ15/AZ14</f>
        <v>-0.107736982575634</v>
      </c>
      <c r="BB15" s="80" t="str">
        <f aca="false">IF(F15&gt;0,"",0.234*Paramètres!$B$12*10^9*IF(F15&gt;0,E15,E15)^2/Paramètres!$B$7/A15^2/D15^4*10^6)</f>
        <v/>
      </c>
      <c r="BC15" s="11" t="n">
        <v>2</v>
      </c>
      <c r="BD15" s="80" t="n">
        <f aca="false">BC15*SQRT(1+L15*BC15^2)-BC15</f>
        <v>0.000351567738851699</v>
      </c>
      <c r="BE15" s="11" t="n">
        <f aca="false">IF(F15&gt;0,PI()^2*Paramètres!$B$12*10^9/8/O15*(E15^4+E15^2*F15^2)*10^-12/D15^2/10^-6,"-")</f>
        <v>0.00651134983499564</v>
      </c>
      <c r="BF15" s="11" t="n">
        <f aca="false">IF(ISBLANK(D15),"-",PI()^3*E15^4*Paramètres!$B$12*10^9/64/O15/(D15/1000)^2*10^-12)</f>
        <v>8.78996597051195E-005</v>
      </c>
      <c r="BG15" s="90" t="n">
        <f aca="false">(Paramètres!$B$12*10^9)^0.5/Paramètres!$B$7/2/D15*1000</f>
        <v>24.467532314491</v>
      </c>
    </row>
    <row r="16" customFormat="false" ht="12.8" hidden="false" customHeight="false" outlineLevel="0" collapsed="false">
      <c r="A16" s="79" t="n">
        <f aca="false">IF(ISBLANK(D16),"-",IF(AND($A$6,$A$4/2&lt;AD16),AG16,AD16))</f>
        <v>32.7031956625748</v>
      </c>
      <c r="B16" s="79" t="str">
        <f aca="false">IF(ISBLANK(D16),"",VLOOKUP(MOD(C16-Paramètres!$B$54,12)+1,Paramètres!$B$40:$C$52,2)&amp;" "&amp;(TRUNC((C16-Paramètres!$B$54+120)/12)-10+1))</f>
        <v>Do 0</v>
      </c>
      <c r="C16" s="11" t="n">
        <f aca="false">IF(ISBLANK(D16),"",C15+1)</f>
        <v>4</v>
      </c>
      <c r="D16" s="25" t="n">
        <v>1166</v>
      </c>
      <c r="E16" s="6" t="n">
        <v>1</v>
      </c>
      <c r="F16" s="6" t="n">
        <v>5.1</v>
      </c>
      <c r="G16" s="25" t="n">
        <v>1</v>
      </c>
      <c r="H16" s="25" t="s">
        <v>73</v>
      </c>
      <c r="I16" s="80" t="n">
        <f aca="false">IF(ISBLANK(D16),"",IF(F16&gt;0,AU16/AT16,AM16))</f>
        <v>0.609564315175147</v>
      </c>
      <c r="J16" s="81" t="str">
        <f aca="false">IF(ISBLANK(D16),"",IF(AQ16,"","]"&amp;AO16&amp;" -- "&amp;AP16&amp;"["))</f>
        <v/>
      </c>
      <c r="K16" s="80" t="n">
        <f aca="false">IF(ISBLANK(D16),"",BA16)</f>
        <v>-0.0775402467967291</v>
      </c>
      <c r="L16" s="82" t="n">
        <f aca="false">IF(ISBLANK(D16),"",IF(F16&gt;0,BF16,BF16))</f>
        <v>8.57104861024522E-005</v>
      </c>
      <c r="M16" s="80" t="str">
        <f aca="false">IF(ISBLANK(D16),"",IF(F16&gt;0,"-",N16/(2^(1/12)-1)))</f>
        <v>-</v>
      </c>
      <c r="N16" s="83" t="str">
        <f aca="false">IF(ISBLANK(D16),"",IF(F16&gt;0,"-",1.5*L16))</f>
        <v>-</v>
      </c>
      <c r="O16" s="12" t="n">
        <f aca="false">IF(ISBLANK(D16),"",IF(F16&gt;0,AU16,AK16))</f>
        <v>839.827235232559</v>
      </c>
      <c r="P16" s="12" t="n">
        <f aca="false">IF(ISBLANK(D16),"",IF(F16&gt;0,AU16*G16,AL16))</f>
        <v>839.827235232559</v>
      </c>
      <c r="Q16" s="84" t="n">
        <v>0.6</v>
      </c>
      <c r="R16" s="12" t="n">
        <f aca="false">IF(ISBLANK(D16),"",AT16*Q16)</f>
        <v>826.65</v>
      </c>
      <c r="S16" s="13" t="n">
        <f aca="false">IF(ISBLANK(D16),"",AJ16)</f>
        <v>5.05965216749225</v>
      </c>
      <c r="T16" s="85" t="n">
        <f aca="false">IF(ISBLANK(F16),"",ROUND(S16*10*G16,0)/10/G16)</f>
        <v>5.1</v>
      </c>
      <c r="U16" s="86" t="n">
        <f aca="false">IF(F16&gt;0,(AJ16-E16)/2,"")</f>
        <v>2.02982608374612</v>
      </c>
      <c r="V16" s="86" t="n">
        <f aca="false">IF(F16&gt;0,AN16,"")</f>
        <v>2.27580386163556</v>
      </c>
      <c r="W16" s="87" t="str">
        <f aca="false">IF(F16&gt;0,IF(U16&lt;Paramètres!$B$5,"!!!",""),"")</f>
        <v/>
      </c>
      <c r="X16" s="88" t="n">
        <f aca="false">IF(U16&lt;&gt;"",IF(U16/3&gt;=Paramètres!$B$5,(S16-E16)/2/3,""),"")</f>
        <v>0.676608694582041</v>
      </c>
      <c r="Y16" s="88" t="n">
        <f aca="false">IF(U16&lt;&gt;"",IF(U16/3&gt;=Paramètres!$B$5,AV16,""),"")</f>
        <v>0.742916346651081</v>
      </c>
      <c r="Z16" s="88" t="n">
        <f aca="false">IF(X16&lt;&gt;"",Y16*2,"")</f>
        <v>1.48583269330216</v>
      </c>
      <c r="AB16" s="1"/>
      <c r="AC16" s="79" t="str">
        <f aca="false">INDEX('Charge de rupture par diamètre'!$C$1:$AC$1,AR16)</f>
        <v>Stephen Paulello France</v>
      </c>
      <c r="AD16" s="13" t="n">
        <f aca="false">IF(ISBLANK(D16),"-",$A$4/16 * 2^((C16-1)/12))</f>
        <v>32.7031956625748</v>
      </c>
      <c r="AE16" s="13" t="n">
        <f aca="false">AF16/(AF$9*SQRT(1+$L16*AF$9^2))</f>
        <v>98.0234814764563</v>
      </c>
      <c r="AF16" s="13" t="n">
        <f aca="false">AG28</f>
        <v>196.080566633959</v>
      </c>
      <c r="AG16" s="13" t="n">
        <f aca="false">$AE16*AG$9*SQRT(1+$G16*AG$9^2)</f>
        <v>138.626136935032</v>
      </c>
      <c r="AH16" s="19" t="n">
        <f aca="false">IF(AND(C16&gt;12,F4="",AD16&gt;$A$4),AH4*2*(1+N4),IF(AD16&gt;=$A$4/2,AD16,AD16))</f>
        <v>32.7031956625748</v>
      </c>
      <c r="AI16" s="19" t="e">
        <f aca="false">IF(AND(C16&gt;12,F4="",AD16&gt;$A$4),AH4*2*(1+N4),IF(AD16&gt;=$A$4/2,AD16,AH28/2/(1+N16)))</f>
        <v>#VALUE!</v>
      </c>
      <c r="AJ16" s="85" t="n">
        <f aca="false">IF(Q16&gt;0,((R16*10^12/PI()/A16^2/D16^2-Paramètres!$B$7*E16^2)*4/PI()/Paramètres!$B$8+E16^2)^0.5,"")</f>
        <v>5.05965216749225</v>
      </c>
      <c r="AK16" s="12" t="n">
        <f aca="false">PI()*Paramètres!$B$7*(E16*A16*D16)^2/10^12</f>
        <v>35.858904349087</v>
      </c>
      <c r="AL16" s="12" t="n">
        <f aca="false">AK16*G16</f>
        <v>35.858904349087</v>
      </c>
      <c r="AM16" s="80" t="n">
        <f aca="false">AK16/AT16</f>
        <v>0.0260271488652418</v>
      </c>
      <c r="AN16" s="85" t="n">
        <f aca="false">(-E16+0.1*Paramètres!$B$7/E16/Paramètres!$B$8/PI()*(AW16^2-E16^2)+(E16^2+3.8*Paramètres!$B$7/Paramètres!$B$8/PI()*(AW16^2-E16^2))^0.5)/2</f>
        <v>2.27580386163556</v>
      </c>
      <c r="AO16" s="85" t="n">
        <f aca="false">VLOOKUP(C16,Paramètres!$C$30:$F$37,2,1)</f>
        <v>0.5</v>
      </c>
      <c r="AP16" s="85" t="n">
        <f aca="false">VLOOKUP(C16,Paramètres!$C$30:$F$37,4,1)</f>
        <v>0.65</v>
      </c>
      <c r="AQ16" s="11" t="b">
        <f aca="false">AND(I16&gt;=AO16,I16&lt;=AP16)</f>
        <v>1</v>
      </c>
      <c r="AR16" s="12" t="n">
        <f aca="false">HLOOKUP(H16,'Charge de rupture par diamètre'!$D$16:$AC$17,2,0)</f>
        <v>3</v>
      </c>
      <c r="AS16" s="12" t="n">
        <f aca="false">VLOOKUP(E16,'Charge de rupture par diamètre'!$C$16:$AC$53,AR16,1)</f>
        <v>1837</v>
      </c>
      <c r="AT16" s="12" t="n">
        <f aca="false">AS16*Paramètres!$B$9</f>
        <v>1377.75</v>
      </c>
      <c r="AU16" s="79" t="n">
        <f aca="false">PI()*A16^2*D16^2*(Paramètres!$B$7*E16^2+Paramètres!$B$8*PI()/4*(F16^2-E16^2))/10^12</f>
        <v>839.827235232559</v>
      </c>
      <c r="AV16" s="13" t="n">
        <f aca="false">0.183*(-E16+(E16^2+4*Paramètres!$B$7/PI()/Paramètres!$B$8*(AW16^2-E16^2))^0.5)</f>
        <v>0.742916346651081</v>
      </c>
      <c r="AW16" s="85" t="n">
        <f aca="false">(R16/PI()/Paramètres!$B$7)^0.5/A16/D16*10^6</f>
        <v>4.80133852025761</v>
      </c>
      <c r="AX16" s="12" t="e">
        <f aca="false">Q16*VLOOKUP(H16,Paramètres!$B$15:$C$18,2,0)*Paramètres!$B$9</f>
        <v>#N/A</v>
      </c>
      <c r="AY16" s="13" t="e">
        <f aca="false">(AX16/PI()/Paramètres!$B$7)^0.5/A16/D16*10^6</f>
        <v>#N/A</v>
      </c>
      <c r="AZ16" s="12" t="n">
        <f aca="false">(IF(F16&gt;0,(F16*F16 -E16*E16)/Paramètres!$B$7*Paramètres!$B$8,0)+E16*E16)*D16*G16</f>
        <v>34451.1558726115</v>
      </c>
      <c r="BA16" s="80" t="n">
        <f aca="false">-1+AZ16/AZ15</f>
        <v>-0.0775402467967291</v>
      </c>
      <c r="BB16" s="80" t="str">
        <f aca="false">IF(F16&gt;0,"",0.234*Paramètres!$B$12*10^9*IF(F16&gt;0,E16,E16)^2/Paramètres!$B$7/A16^2/D16^4*10^6)</f>
        <v/>
      </c>
      <c r="BC16" s="11" t="n">
        <v>2</v>
      </c>
      <c r="BD16" s="80" t="n">
        <f aca="false">BC16*SQRT(1+L16*BC16^2)-BC16</f>
        <v>0.000342812564296136</v>
      </c>
      <c r="BE16" s="11" t="n">
        <f aca="false">IF(F16&gt;0,PI()^2*Paramètres!$B$12*10^9/8/O16*(E16^4+E16^2*F16^2)*10^-12/D16^2/10^-6,"-")</f>
        <v>0.00589520153602833</v>
      </c>
      <c r="BF16" s="11" t="n">
        <f aca="false">IF(ISBLANK(D16),"-",PI()^3*E16^4*Paramètres!$B$12*10^9/64/O16/(D16/1000)^2*10^-12)</f>
        <v>8.57104861024522E-005</v>
      </c>
      <c r="BG16" s="90" t="n">
        <f aca="false">(Paramètres!$B$12*10^9)^0.5/Paramètres!$B$7/2/D16*1000</f>
        <v>24.5514689605098</v>
      </c>
    </row>
    <row r="17" customFormat="false" ht="12.8" hidden="false" customHeight="false" outlineLevel="0" collapsed="false">
      <c r="A17" s="79" t="n">
        <f aca="false">IF(ISBLANK(D17),"-",IF(AND($A$6,$A$4/2&lt;AD17),AG17,AD17))</f>
        <v>34.647828872109</v>
      </c>
      <c r="B17" s="79" t="str">
        <f aca="false">IF(ISBLANK(D17),"",VLOOKUP(MOD(C17-Paramètres!$B$54,12)+1,Paramètres!$B$40:$C$52,2)&amp;" "&amp;(TRUNC((C17-Paramètres!$B$54+120)/12)-10+1))</f>
        <v>Do# 0</v>
      </c>
      <c r="C17" s="11" t="n">
        <f aca="false">IF(ISBLANK(D17),"",C16+1)</f>
        <v>5</v>
      </c>
      <c r="D17" s="25" t="n">
        <v>1161</v>
      </c>
      <c r="E17" s="6" t="n">
        <v>1</v>
      </c>
      <c r="F17" s="6" t="n">
        <v>4.8</v>
      </c>
      <c r="G17" s="25" t="n">
        <v>1</v>
      </c>
      <c r="H17" s="25" t="s">
        <v>73</v>
      </c>
      <c r="I17" s="80" t="n">
        <f aca="false">IF(ISBLANK(D17),"",IF(F17&gt;0,AU17/AT17,AM17))</f>
        <v>0.601240328904863</v>
      </c>
      <c r="J17" s="81" t="str">
        <f aca="false">IF(ISBLANK(D17),"",IF(AQ17,"","]"&amp;AO17&amp;" -- "&amp;AP17&amp;"["))</f>
        <v/>
      </c>
      <c r="K17" s="80" t="n">
        <f aca="false">IF(ISBLANK(D17),"",BA17)</f>
        <v>-0.118529487805051</v>
      </c>
      <c r="L17" s="82" t="n">
        <f aca="false">IF(ISBLANK(D17),"",IF(F17&gt;0,BF17,BF17))</f>
        <v>8.76472008264971E-005</v>
      </c>
      <c r="M17" s="80" t="str">
        <f aca="false">IF(ISBLANK(D17),"",IF(F17&gt;0,"-",N17/(2^(1/12)-1)))</f>
        <v>-</v>
      </c>
      <c r="N17" s="83" t="str">
        <f aca="false">IF(ISBLANK(D17),"",IF(F17&gt;0,"-",1.5*L17))</f>
        <v>-</v>
      </c>
      <c r="O17" s="12" t="n">
        <f aca="false">IF(ISBLANK(D17),"",IF(F17&gt;0,AU17,AK17))</f>
        <v>828.358863148675</v>
      </c>
      <c r="P17" s="12" t="n">
        <f aca="false">IF(ISBLANK(D17),"",IF(F17&gt;0,AU17*G17,AL17))</f>
        <v>828.358863148675</v>
      </c>
      <c r="Q17" s="84" t="n">
        <v>0.6</v>
      </c>
      <c r="R17" s="12" t="n">
        <f aca="false">IF(ISBLANK(D17),"",AT17*Q17)</f>
        <v>826.65</v>
      </c>
      <c r="S17" s="13" t="n">
        <f aca="false">IF(ISBLANK(D17),"",AJ17)</f>
        <v>4.79502151644612</v>
      </c>
      <c r="T17" s="85" t="n">
        <f aca="false">IF(ISBLANK(F17),"",ROUND(S17*10*G17,0)/10/G17)</f>
        <v>4.8</v>
      </c>
      <c r="U17" s="86" t="n">
        <f aca="false">IF(F17&gt;0,(AJ17-E17)/2,"")</f>
        <v>1.89751075822306</v>
      </c>
      <c r="V17" s="86" t="n">
        <f aca="false">IF(F17&gt;0,AN17,"")</f>
        <v>2.11438038559165</v>
      </c>
      <c r="W17" s="87" t="str">
        <f aca="false">IF(F17&gt;0,IF(U17&lt;Paramètres!$B$5,"!!!",""),"")</f>
        <v/>
      </c>
      <c r="X17" s="88" t="n">
        <f aca="false">IF(U17&lt;&gt;"",IF(U17/3&gt;=Paramètres!$B$5,(S17-E17)/2/3,""),"")</f>
        <v>0.632503586074354</v>
      </c>
      <c r="Y17" s="88" t="n">
        <f aca="false">IF(U17&lt;&gt;"",IF(U17/3&gt;=Paramètres!$B$5,AV17,""),"")</f>
        <v>0.694488937509641</v>
      </c>
      <c r="Z17" s="88" t="n">
        <f aca="false">IF(X17&lt;&gt;"",Y17*2,"")</f>
        <v>1.38897787501928</v>
      </c>
      <c r="AB17" s="1"/>
      <c r="AC17" s="79" t="str">
        <f aca="false">INDEX('Charge de rupture par diamètre'!$C$1:$AC$1,AR17)</f>
        <v>Stephen Paulello France</v>
      </c>
      <c r="AD17" s="13" t="n">
        <f aca="false">IF(ISBLANK(D17),"-",$A$4/16 * 2^((C17-1)/12))</f>
        <v>34.647828872109</v>
      </c>
      <c r="AE17" s="13" t="n">
        <f aca="false">AF17/(AF$9*SQRT(1+$L17*AF$9^2))</f>
        <v>119.892562352956</v>
      </c>
      <c r="AF17" s="13" t="n">
        <f aca="false">AG29</f>
        <v>239.827154012444</v>
      </c>
      <c r="AG17" s="13" t="n">
        <f aca="false">$AE17*AG$9*SQRT(1+$G17*AG$9^2)</f>
        <v>169.553687707212</v>
      </c>
      <c r="AH17" s="19" t="n">
        <f aca="false">IF(AND(C17&gt;12,F5="",AD17&gt;$A$4),AH5*2*(1+N5),IF(AD17&gt;=$A$4/2,AD17,AD17))</f>
        <v>34.647828872109</v>
      </c>
      <c r="AI17" s="19" t="e">
        <f aca="false">IF(AND(C17&gt;12,F5="",AD17&gt;$A$4),AH5*2*(1+N5),IF(AD17&gt;=$A$4/2,AD17,AH29/2/(1+N17)))</f>
        <v>#VALUE!</v>
      </c>
      <c r="AJ17" s="85" t="n">
        <f aca="false">IF(Q17&gt;0,((R17*10^12/PI()/A17^2/D17^2-Paramètres!$B$7*E17^2)*4/PI()/Paramètres!$B$8+E17^2)^0.5,"")</f>
        <v>4.79502151644612</v>
      </c>
      <c r="AK17" s="12" t="n">
        <f aca="false">PI()*Paramètres!$B$7*(E17*A17*D17)^2/10^12</f>
        <v>39.9057998831293</v>
      </c>
      <c r="AL17" s="12" t="n">
        <f aca="false">AK17*G17</f>
        <v>39.9057998831293</v>
      </c>
      <c r="AM17" s="80" t="n">
        <f aca="false">AK17/AT17</f>
        <v>0.028964470973057</v>
      </c>
      <c r="AN17" s="85" t="n">
        <f aca="false">(-E17+0.1*Paramètres!$B$7/E17/Paramètres!$B$8/PI()*(AW17^2-E17^2)+(E17^2+3.8*Paramètres!$B$7/Paramètres!$B$8/PI()*(AW17^2-E17^2))^0.5)/2</f>
        <v>2.11438038559165</v>
      </c>
      <c r="AO17" s="85" t="n">
        <f aca="false">VLOOKUP(C17,Paramètres!$C$30:$F$37,2,1)</f>
        <v>0.5</v>
      </c>
      <c r="AP17" s="85" t="n">
        <f aca="false">VLOOKUP(C17,Paramètres!$C$30:$F$37,4,1)</f>
        <v>0.65</v>
      </c>
      <c r="AQ17" s="11" t="b">
        <f aca="false">AND(I17&gt;=AO17,I17&lt;=AP17)</f>
        <v>1</v>
      </c>
      <c r="AR17" s="12" t="n">
        <f aca="false">HLOOKUP(H17,'Charge de rupture par diamètre'!$D$16:$AC$17,2,0)</f>
        <v>3</v>
      </c>
      <c r="AS17" s="12" t="n">
        <f aca="false">VLOOKUP(E17,'Charge de rupture par diamètre'!$C$16:$AC$53,AR17,1)</f>
        <v>1837</v>
      </c>
      <c r="AT17" s="12" t="n">
        <f aca="false">AS17*Paramètres!$B$9</f>
        <v>1377.75</v>
      </c>
      <c r="AU17" s="79" t="n">
        <f aca="false">PI()*A17^2*D17^2*(Paramètres!$B$7*E17^2+Paramètres!$B$8*PI()/4*(F17^2-E17^2))/10^12</f>
        <v>828.358863148675</v>
      </c>
      <c r="AV17" s="13" t="n">
        <f aca="false">0.183*(-E17+(E17^2+4*Paramètres!$B$7/PI()/Paramètres!$B$8*(AW17^2-E17^2))^0.5)</f>
        <v>0.694488937509641</v>
      </c>
      <c r="AW17" s="85" t="n">
        <f aca="false">(R17/PI()/Paramètres!$B$7)^0.5/A17/D17*10^6</f>
        <v>4.55137715043626</v>
      </c>
      <c r="AX17" s="12" t="e">
        <f aca="false">Q17*VLOOKUP(H17,Paramètres!$B$15:$C$18,2,0)*Paramètres!$B$9</f>
        <v>#N/A</v>
      </c>
      <c r="AY17" s="13" t="e">
        <f aca="false">(AX17/PI()/Paramètres!$B$7)^0.5/A17/D17*10^6</f>
        <v>#N/A</v>
      </c>
      <c r="AZ17" s="12" t="n">
        <f aca="false">(IF(F17&gt;0,(F17*F17 -E17*E17)/Paramètres!$B$7*Paramètres!$B$8,0)+E17*E17)*D17*G17</f>
        <v>30367.6780127389</v>
      </c>
      <c r="BA17" s="80" t="n">
        <f aca="false">-1+AZ17/AZ16</f>
        <v>-0.118529487805051</v>
      </c>
      <c r="BB17" s="80" t="str">
        <f aca="false">IF(F17&gt;0,"",0.234*Paramètres!$B$12*10^9*IF(F17&gt;0,E17,E17)^2/Paramètres!$B$7/A17^2/D17^4*10^6)</f>
        <v/>
      </c>
      <c r="BC17" s="11" t="n">
        <v>2</v>
      </c>
      <c r="BD17" s="80" t="n">
        <f aca="false">BC17*SQRT(1+L17*BC17^2)-BC17</f>
        <v>0.000350558080564056</v>
      </c>
      <c r="BE17" s="11" t="n">
        <f aca="false">IF(F17&gt;0,PI()^2*Paramètres!$B$12*10^9/8/O17*(E17^4+E17^2*F17^2)*10^-12/D17^2/10^-6,"-")</f>
        <v>0.00536553001029296</v>
      </c>
      <c r="BF17" s="11" t="n">
        <f aca="false">IF(ISBLANK(D17),"-",PI()^3*E17^4*Paramètres!$B$12*10^9/64/O17/(D17/1000)^2*10^-12)</f>
        <v>8.76472008264971E-005</v>
      </c>
      <c r="BG17" s="90" t="n">
        <f aca="false">(Paramètres!$B$12*10^9)^0.5/Paramètres!$B$7/2/D17*1000</f>
        <v>24.6572031076266</v>
      </c>
    </row>
    <row r="18" customFormat="false" ht="12.8" hidden="false" customHeight="false" outlineLevel="0" collapsed="false">
      <c r="A18" s="79" t="n">
        <f aca="false">IF(ISBLANK(D18),"-",IF(AND($A$6,$A$4/2&lt;AD18),AG18,AD18))</f>
        <v>36.708095989676</v>
      </c>
      <c r="B18" s="79" t="str">
        <f aca="false">IF(ISBLANK(D18),"",VLOOKUP(MOD(C18-Paramètres!$B$54,12)+1,Paramètres!$B$40:$C$52,2)&amp;" "&amp;(TRUNC((C18-Paramètres!$B$54+120)/12)-10+1))</f>
        <v>Ré 0</v>
      </c>
      <c r="C18" s="11" t="n">
        <f aca="false">IF(ISBLANK(D18),"",C17+1)</f>
        <v>6</v>
      </c>
      <c r="D18" s="25" t="n">
        <v>1156</v>
      </c>
      <c r="E18" s="6" t="n">
        <v>1</v>
      </c>
      <c r="F18" s="6" t="n">
        <v>4.5</v>
      </c>
      <c r="G18" s="25" t="n">
        <v>1</v>
      </c>
      <c r="H18" s="25" t="s">
        <v>73</v>
      </c>
      <c r="I18" s="80" t="n">
        <f aca="false">IF(ISBLANK(D18),"",IF(F18&gt;0,AU18/AT18,AM18))</f>
        <v>0.588453196976841</v>
      </c>
      <c r="J18" s="81" t="str">
        <f aca="false">IF(ISBLANK(D18),"",IF(AQ18,"","]"&amp;AO18&amp;" -- "&amp;AP18&amp;"["))</f>
        <v/>
      </c>
      <c r="K18" s="80" t="n">
        <f aca="false">IF(ISBLANK(D18),"",BA18)</f>
        <v>-0.125530686388635</v>
      </c>
      <c r="L18" s="82" t="n">
        <f aca="false">IF(ISBLANK(D18),"",IF(F18&gt;0,BF18,BF18))</f>
        <v>9.0328125757035E-005</v>
      </c>
      <c r="M18" s="80" t="str">
        <f aca="false">IF(ISBLANK(D18),"",IF(F18&gt;0,"-",N18/(2^(1/12)-1)))</f>
        <v>-</v>
      </c>
      <c r="N18" s="83" t="str">
        <f aca="false">IF(ISBLANK(D18),"",IF(F18&gt;0,"-",1.5*L18))</f>
        <v>-</v>
      </c>
      <c r="O18" s="12" t="n">
        <f aca="false">IF(ISBLANK(D18),"",IF(F18&gt;0,AU18,AK18))</f>
        <v>810.741392134842</v>
      </c>
      <c r="P18" s="12" t="n">
        <f aca="false">IF(ISBLANK(D18),"",IF(F18&gt;0,AU18*G18,AL18))</f>
        <v>810.741392134842</v>
      </c>
      <c r="Q18" s="84" t="n">
        <v>0.6</v>
      </c>
      <c r="R18" s="12" t="n">
        <f aca="false">IF(ISBLANK(D18),"",AT18*Q18)</f>
        <v>826.65</v>
      </c>
      <c r="S18" s="13" t="n">
        <f aca="false">IF(ISBLANK(D18),"",AJ18)</f>
        <v>4.54418507401341</v>
      </c>
      <c r="T18" s="85" t="n">
        <f aca="false">IF(ISBLANK(F18),"",ROUND(S18*10*G18,0)/10/G18)</f>
        <v>4.5</v>
      </c>
      <c r="U18" s="86" t="n">
        <f aca="false">IF(F18&gt;0,(AJ18-E18)/2,"")</f>
        <v>1.7720925370067</v>
      </c>
      <c r="V18" s="86" t="n">
        <f aca="false">IF(F18&gt;0,AN18,"")</f>
        <v>1.96300252653452</v>
      </c>
      <c r="W18" s="87" t="str">
        <f aca="false">IF(F18&gt;0,IF(U18&lt;Paramètres!$B$5,"!!!",""),"")</f>
        <v/>
      </c>
      <c r="X18" s="88" t="n">
        <f aca="false">IF(U18&lt;&gt;"",IF(U18/3&gt;=Paramètres!$B$5,(S18-E18)/2/3,""),"")</f>
        <v>0.590697512335568</v>
      </c>
      <c r="Y18" s="88" t="n">
        <f aca="false">IF(U18&lt;&gt;"",IF(U18/3&gt;=Paramètres!$B$5,AV18,""),"")</f>
        <v>0.648585868544453</v>
      </c>
      <c r="Z18" s="88" t="n">
        <f aca="false">IF(X18&lt;&gt;"",Y18*2,"")</f>
        <v>1.29717173708891</v>
      </c>
      <c r="AB18" s="1"/>
      <c r="AC18" s="79" t="str">
        <f aca="false">INDEX('Charge de rupture par diamètre'!$C$1:$AC$1,AR18)</f>
        <v>Stephen Paulello France</v>
      </c>
      <c r="AD18" s="13" t="n">
        <f aca="false">IF(ISBLANK(D18),"-",$A$4/16 * 2^((C18-1)/12))</f>
        <v>36.708095989676</v>
      </c>
      <c r="AE18" s="13" t="n">
        <f aca="false">AF18/(AF$9*SQRT(1+$L18*AF$9^2))</f>
        <v>127.025876783444</v>
      </c>
      <c r="AF18" s="13" t="n">
        <f aca="false">AG30</f>
        <v>254.097645459424</v>
      </c>
      <c r="AG18" s="13" t="n">
        <f aca="false">$AE18*AG$9*SQRT(1+$G18*AG$9^2)</f>
        <v>179.64171771948</v>
      </c>
      <c r="AH18" s="19" t="n">
        <f aca="false">IF(AND(C18&gt;12,F6="",AD18&gt;$A$4),AH6*2*(1+N6),IF(AD18&gt;=$A$4/2,AD18,AD18))</f>
        <v>36.708095989676</v>
      </c>
      <c r="AI18" s="19" t="e">
        <f aca="false">IF(AND(C18&gt;12,F6="",AD18&gt;$A$4),AH6*2*(1+N6),IF(AD18&gt;=$A$4/2,AD18,AH30/2/(1+N18)))</f>
        <v>#VALUE!</v>
      </c>
      <c r="AJ18" s="85" t="n">
        <f aca="false">IF(Q18&gt;0,((R18*10^12/PI()/A18^2/D18^2-Paramètres!$B$7*E18^2)*4/PI()/Paramètres!$B$8+E18^2)^0.5,"")</f>
        <v>4.54418507401341</v>
      </c>
      <c r="AK18" s="12" t="n">
        <f aca="false">PI()*Paramètres!$B$7*(E18*A18*D18)^2/10^12</f>
        <v>44.407764886275</v>
      </c>
      <c r="AL18" s="12" t="n">
        <f aca="false">AK18*G18</f>
        <v>44.407764886275</v>
      </c>
      <c r="AM18" s="80" t="n">
        <f aca="false">AK18/AT18</f>
        <v>0.0322320920967338</v>
      </c>
      <c r="AN18" s="85" t="n">
        <f aca="false">(-E18+0.1*Paramètres!$B$7/E18/Paramètres!$B$8/PI()*(AW18^2-E18^2)+(E18^2+3.8*Paramètres!$B$7/Paramètres!$B$8/PI()*(AW18^2-E18^2))^0.5)/2</f>
        <v>1.96300252653452</v>
      </c>
      <c r="AO18" s="85" t="n">
        <f aca="false">VLOOKUP(C18,Paramètres!$C$30:$F$37,2,1)</f>
        <v>0.5</v>
      </c>
      <c r="AP18" s="85" t="n">
        <f aca="false">VLOOKUP(C18,Paramètres!$C$30:$F$37,4,1)</f>
        <v>0.65</v>
      </c>
      <c r="AQ18" s="11" t="b">
        <f aca="false">AND(I18&gt;=AO18,I18&lt;=AP18)</f>
        <v>1</v>
      </c>
      <c r="AR18" s="12" t="n">
        <f aca="false">HLOOKUP(H18,'Charge de rupture par diamètre'!$D$16:$AC$17,2,0)</f>
        <v>3</v>
      </c>
      <c r="AS18" s="12" t="n">
        <f aca="false">VLOOKUP(E18,'Charge de rupture par diamètre'!$C$16:$AC$53,AR18,1)</f>
        <v>1837</v>
      </c>
      <c r="AT18" s="12" t="n">
        <f aca="false">AS18*Paramètres!$B$9</f>
        <v>1377.75</v>
      </c>
      <c r="AU18" s="79" t="n">
        <f aca="false">PI()*A18^2*D18^2*(Paramètres!$B$7*E18^2+Paramètres!$B$8*PI()/4*(F18^2-E18^2))/10^12</f>
        <v>810.741392134842</v>
      </c>
      <c r="AV18" s="13" t="n">
        <f aca="false">0.183*(-E18+(E18^2+4*Paramètres!$B$7/PI()/Paramètres!$B$8*(AW18^2-E18^2))^0.5)</f>
        <v>0.648585868544453</v>
      </c>
      <c r="AW18" s="85" t="n">
        <f aca="false">(R18/PI()/Paramètres!$B$7)^0.5/A18/D18*10^6</f>
        <v>4.31450898299527</v>
      </c>
      <c r="AX18" s="12" t="e">
        <f aca="false">Q18*VLOOKUP(H18,Paramètres!$B$15:$C$18,2,0)*Paramètres!$B$9</f>
        <v>#N/A</v>
      </c>
      <c r="AY18" s="13" t="e">
        <f aca="false">(AX18/PI()/Paramètres!$B$7)^0.5/A18/D18*10^6</f>
        <v>#N/A</v>
      </c>
      <c r="AZ18" s="12" t="n">
        <f aca="false">(IF(F18&gt;0,(F18*F18 -E18*E18)/Paramètres!$B$7*Paramètres!$B$8,0)+E18*E18)*D18*G18</f>
        <v>26555.6025477707</v>
      </c>
      <c r="BA18" s="80" t="n">
        <f aca="false">-1+AZ18/AZ17</f>
        <v>-0.125530686388635</v>
      </c>
      <c r="BB18" s="80" t="str">
        <f aca="false">IF(F18&gt;0,"",0.234*Paramètres!$B$12*10^9*IF(F18&gt;0,E18,E18)^2/Paramètres!$B$7/A18^2/D18^4*10^6)</f>
        <v/>
      </c>
      <c r="BC18" s="11" t="n">
        <v>2</v>
      </c>
      <c r="BD18" s="80" t="n">
        <f aca="false">BC18*SQRT(1+L18*BC18^2)-BC18</f>
        <v>0.00036127987224166</v>
      </c>
      <c r="BE18" s="11" t="n">
        <f aca="false">IF(F18&gt;0,PI()^2*Paramètres!$B$12*10^9/8/O18*(E18^4+E18^2*F18^2)*10^-12/D18^2/10^-6,"-")</f>
        <v>0.00488789702291588</v>
      </c>
      <c r="BF18" s="11" t="n">
        <f aca="false">IF(ISBLANK(D18),"-",PI()^3*E18^4*Paramètres!$B$12*10^9/64/O18/(D18/1000)^2*10^-12)</f>
        <v>9.0328125757035E-005</v>
      </c>
      <c r="BG18" s="90" t="n">
        <f aca="false">(Paramètres!$B$12*10^9)^0.5/Paramètres!$B$7/2/D18*1000</f>
        <v>24.7638519099952</v>
      </c>
    </row>
    <row r="19" customFormat="false" ht="12.8" hidden="false" customHeight="false" outlineLevel="0" collapsed="false">
      <c r="A19" s="79" t="n">
        <f aca="false">IF(ISBLANK(D19),"-",IF(AND($A$6,$A$4/2&lt;AD19),AG19,AD19))</f>
        <v>38.8908729652601</v>
      </c>
      <c r="B19" s="79" t="str">
        <f aca="false">IF(ISBLANK(D19),"",VLOOKUP(MOD(C19-Paramètres!$B$54,12)+1,Paramètres!$B$40:$C$52,2)&amp;" "&amp;(TRUNC((C19-Paramètres!$B$54+120)/12)-10+1))</f>
        <v>Ré# 0</v>
      </c>
      <c r="C19" s="11" t="n">
        <f aca="false">IF(ISBLANK(D19),"",C18+1)</f>
        <v>7</v>
      </c>
      <c r="D19" s="25" t="n">
        <v>1151</v>
      </c>
      <c r="E19" s="6" t="n">
        <v>1</v>
      </c>
      <c r="F19" s="6" t="n">
        <v>4.3</v>
      </c>
      <c r="G19" s="25" t="n">
        <v>1</v>
      </c>
      <c r="H19" s="25" t="s">
        <v>73</v>
      </c>
      <c r="I19" s="80" t="n">
        <f aca="false">IF(ISBLANK(D19),"",IF(F19&gt;0,AU19/AT19,AM19))</f>
        <v>0.598225403946775</v>
      </c>
      <c r="J19" s="81" t="str">
        <f aca="false">IF(ISBLANK(D19),"",IF(AQ19,"","]"&amp;AO19&amp;" -- "&amp;AP19&amp;"["))</f>
        <v/>
      </c>
      <c r="K19" s="80" t="n">
        <f aca="false">IF(ISBLANK(D19),"",BA19)</f>
        <v>-0.0913955882880617</v>
      </c>
      <c r="L19" s="82" t="n">
        <f aca="false">IF(ISBLANK(D19),"",IF(F19&gt;0,BF19,BF19))</f>
        <v>8.96262230117371E-005</v>
      </c>
      <c r="M19" s="80" t="str">
        <f aca="false">IF(ISBLANK(D19),"",IF(F19&gt;0,"-",N19/(2^(1/12)-1)))</f>
        <v>-</v>
      </c>
      <c r="N19" s="83" t="str">
        <f aca="false">IF(ISBLANK(D19),"",IF(F19&gt;0,"-",1.5*L19))</f>
        <v>-</v>
      </c>
      <c r="O19" s="12" t="n">
        <f aca="false">IF(ISBLANK(D19),"",IF(F19&gt;0,AU19,AK19))</f>
        <v>824.205050287669</v>
      </c>
      <c r="P19" s="12" t="n">
        <f aca="false">IF(ISBLANK(D19),"",IF(F19&gt;0,AU19*G19,AL19))</f>
        <v>824.205050287669</v>
      </c>
      <c r="Q19" s="84" t="n">
        <v>0.6</v>
      </c>
      <c r="R19" s="12" t="n">
        <f aca="false">IF(ISBLANK(D19),"",AT19*Q19)</f>
        <v>826.65</v>
      </c>
      <c r="S19" s="13" t="n">
        <f aca="false">IF(ISBLANK(D19),"",AJ19)</f>
        <v>4.30641289248991</v>
      </c>
      <c r="T19" s="85" t="n">
        <f aca="false">IF(ISBLANK(F19),"",ROUND(S19*10*G19,0)/10/G19)</f>
        <v>4.3</v>
      </c>
      <c r="U19" s="86" t="n">
        <f aca="false">IF(F19&gt;0,(AJ19-E19)/2,"")</f>
        <v>1.65320644624496</v>
      </c>
      <c r="V19" s="86" t="n">
        <f aca="false">IF(F19&gt;0,AN19,"")</f>
        <v>1.82097688523335</v>
      </c>
      <c r="W19" s="87" t="str">
        <f aca="false">IF(F19&gt;0,IF(U19&lt;Paramètres!$B$5,"!!!",""),"")</f>
        <v/>
      </c>
      <c r="X19" s="88" t="n">
        <f aca="false">IF(U19&lt;&gt;"",IF(U19/3&gt;=Paramètres!$B$5,(S19-E19)/2/3,""),"")</f>
        <v>0.551068815414986</v>
      </c>
      <c r="Y19" s="88" t="n">
        <f aca="false">IF(U19&lt;&gt;"",IF(U19/3&gt;=Paramètres!$B$5,AV19,""),"")</f>
        <v>0.605073559325654</v>
      </c>
      <c r="Z19" s="88" t="n">
        <f aca="false">IF(X19&lt;&gt;"",Y19*2,"")</f>
        <v>1.21014711865131</v>
      </c>
      <c r="AB19" s="1"/>
      <c r="AC19" s="79" t="str">
        <f aca="false">INDEX('Charge de rupture par diamètre'!$C$1:$AC$1,AR19)</f>
        <v>Stephen Paulello France</v>
      </c>
      <c r="AD19" s="13" t="n">
        <f aca="false">IF(ISBLANK(D19),"-",$A$4/16 * 2^((C19-1)/12))</f>
        <v>38.8908729652601</v>
      </c>
      <c r="AE19" s="13" t="n">
        <f aca="false">AF19/(AF$9*SQRT(1+$L19*AF$9^2))</f>
        <v>134.58953690001</v>
      </c>
      <c r="AF19" s="13" t="n">
        <f aca="false">AG31</f>
        <v>269.227320483637</v>
      </c>
      <c r="AG19" s="13" t="n">
        <f aca="false">$AE19*AG$9*SQRT(1+$G19*AG$9^2)</f>
        <v>190.338348437508</v>
      </c>
      <c r="AH19" s="19" t="n">
        <f aca="false">IF(AND(C19&gt;12,F7="",AD19&gt;$A$4),AH7*2*(1+N7),IF(AD19&gt;=$A$4/2,AD19,AD19))</f>
        <v>38.8908729652601</v>
      </c>
      <c r="AI19" s="19" t="e">
        <f aca="false">IF(AND(C19&gt;12,F7="",AD19&gt;$A$4),AH7*2*(1+N7),IF(AD19&gt;=$A$4/2,AD19,AH31/2/(1+N19)))</f>
        <v>#VALUE!</v>
      </c>
      <c r="AJ19" s="85" t="n">
        <f aca="false">IF(Q19&gt;0,((R19*10^12/PI()/A19^2/D19^2-Paramètres!$B$7*E19^2)*4/PI()/Paramètres!$B$8+E19^2)^0.5,"")</f>
        <v>4.30641289248991</v>
      </c>
      <c r="AK19" s="12" t="n">
        <f aca="false">PI()*Paramètres!$B$7*(E19*A19*D19)^2/10^12</f>
        <v>49.4157692106454</v>
      </c>
      <c r="AL19" s="12" t="n">
        <f aca="false">AK19*G19</f>
        <v>49.4157692106454</v>
      </c>
      <c r="AM19" s="80" t="n">
        <f aca="false">AK19/AT19</f>
        <v>0.0358670072296465</v>
      </c>
      <c r="AN19" s="85" t="n">
        <f aca="false">(-E19+0.1*Paramètres!$B$7/E19/Paramètres!$B$8/PI()*(AW19^2-E19^2)+(E19^2+3.8*Paramètres!$B$7/Paramètres!$B$8/PI()*(AW19^2-E19^2))^0.5)/2</f>
        <v>1.82097688523335</v>
      </c>
      <c r="AO19" s="85" t="n">
        <f aca="false">VLOOKUP(C19,Paramètres!$C$30:$F$37,2,1)</f>
        <v>0.5</v>
      </c>
      <c r="AP19" s="85" t="n">
        <f aca="false">VLOOKUP(C19,Paramètres!$C$30:$F$37,4,1)</f>
        <v>0.65</v>
      </c>
      <c r="AQ19" s="11" t="b">
        <f aca="false">AND(I19&gt;=AO19,I19&lt;=AP19)</f>
        <v>1</v>
      </c>
      <c r="AR19" s="12" t="n">
        <f aca="false">HLOOKUP(H19,'Charge de rupture par diamètre'!$D$16:$AC$17,2,0)</f>
        <v>3</v>
      </c>
      <c r="AS19" s="12" t="n">
        <f aca="false">VLOOKUP(E19,'Charge de rupture par diamètre'!$C$16:$AC$53,AR19,1)</f>
        <v>1837</v>
      </c>
      <c r="AT19" s="12" t="n">
        <f aca="false">AS19*Paramètres!$B$9</f>
        <v>1377.75</v>
      </c>
      <c r="AU19" s="79" t="n">
        <f aca="false">PI()*A19^2*D19^2*(Paramètres!$B$7*E19^2+Paramètres!$B$8*PI()/4*(F19^2-E19^2))/10^12</f>
        <v>824.205050287669</v>
      </c>
      <c r="AV19" s="13" t="n">
        <f aca="false">0.183*(-E19+(E19^2+4*Paramètres!$B$7/PI()/Paramètres!$B$8*(AW19^2-E19^2))^0.5)</f>
        <v>0.605073559325654</v>
      </c>
      <c r="AW19" s="85" t="n">
        <f aca="false">(R19/PI()/Paramètres!$B$7)^0.5/A19/D19*10^6</f>
        <v>4.09004470566594</v>
      </c>
      <c r="AX19" s="12" t="e">
        <f aca="false">Q19*VLOOKUP(H19,Paramètres!$B$15:$C$18,2,0)*Paramètres!$B$9</f>
        <v>#N/A</v>
      </c>
      <c r="AY19" s="13" t="e">
        <f aca="false">(AX19/PI()/Paramètres!$B$7)^0.5/A19/D19*10^6</f>
        <v>#N/A</v>
      </c>
      <c r="AZ19" s="12" t="n">
        <f aca="false">(IF(F19&gt;0,(F19*F19 -E19*E19)/Paramètres!$B$7*Paramètres!$B$8,0)+E19*E19)*D19*G19</f>
        <v>24128.5376305732</v>
      </c>
      <c r="BA19" s="80" t="n">
        <f aca="false">-1+AZ19/AZ18</f>
        <v>-0.0913955882880617</v>
      </c>
      <c r="BB19" s="80" t="str">
        <f aca="false">IF(F19&gt;0,"",0.234*Paramètres!$B$12*10^9*IF(F19&gt;0,E19,E19)^2/Paramètres!$B$7/A19^2/D19^4*10^6)</f>
        <v/>
      </c>
      <c r="BC19" s="11" t="n">
        <v>2</v>
      </c>
      <c r="BD19" s="80" t="n">
        <f aca="false">BC19*SQRT(1+L19*BC19^2)-BC19</f>
        <v>0.000358472766365914</v>
      </c>
      <c r="BE19" s="11" t="n">
        <f aca="false">IF(F19&gt;0,PI()^2*Paramètres!$B$12*10^9/8/O19*(E19^4+E19^2*F19^2)*10^-12/D19^2/10^-6,"-")</f>
        <v>0.00444822809094038</v>
      </c>
      <c r="BF19" s="11" t="n">
        <f aca="false">IF(ISBLANK(D19),"-",PI()^3*E19^4*Paramètres!$B$12*10^9/64/O19/(D19/1000)^2*10^-12)</f>
        <v>8.96262230117371E-005</v>
      </c>
      <c r="BG19" s="90" t="n">
        <f aca="false">(Paramètres!$B$12*10^9)^0.5/Paramètres!$B$7/2/D19*1000</f>
        <v>24.8714272875364</v>
      </c>
    </row>
    <row r="20" customFormat="false" ht="12.8" hidden="false" customHeight="false" outlineLevel="0" collapsed="false">
      <c r="A20" s="79" t="n">
        <f aca="false">IF(ISBLANK(D20),"-",IF(AND($A$6,$A$4/2&lt;AD20),AG20,AD20))</f>
        <v>41.2034446141087</v>
      </c>
      <c r="B20" s="79" t="str">
        <f aca="false">IF(ISBLANK(D20),"",VLOOKUP(MOD(C20-Paramètres!$B$54,12)+1,Paramètres!$B$40:$C$52,2)&amp;" "&amp;(TRUNC((C20-Paramètres!$B$54+120)/12)-10+1))</f>
        <v>Mi 0</v>
      </c>
      <c r="C20" s="11" t="n">
        <f aca="false">IF(ISBLANK(D20),"",C19+1)</f>
        <v>8</v>
      </c>
      <c r="D20" s="25" t="n">
        <v>1145</v>
      </c>
      <c r="E20" s="6" t="n">
        <v>1</v>
      </c>
      <c r="F20" s="6" t="n">
        <v>4.1</v>
      </c>
      <c r="G20" s="25" t="n">
        <v>1</v>
      </c>
      <c r="H20" s="25" t="s">
        <v>73</v>
      </c>
      <c r="I20" s="80" t="n">
        <f aca="false">IF(ISBLANK(D20),"",IF(F20&gt;0,AU20/AT20,AM20))</f>
        <v>0.604500992426024</v>
      </c>
      <c r="J20" s="81" t="str">
        <f aca="false">IF(ISBLANK(D20),"",IF(AQ20,"","]"&amp;AO20&amp;" -- "&amp;AP20&amp;"["))</f>
        <v/>
      </c>
      <c r="K20" s="80" t="n">
        <f aca="false">IF(ISBLANK(D20),"",BA20)</f>
        <v>-0.0962088202637682</v>
      </c>
      <c r="L20" s="82" t="n">
        <f aca="false">IF(ISBLANK(D20),"",IF(F20&gt;0,BF20,BF20))</f>
        <v>8.96277723300607E-005</v>
      </c>
      <c r="M20" s="80" t="str">
        <f aca="false">IF(ISBLANK(D20),"",IF(F20&gt;0,"-",N20/(2^(1/12)-1)))</f>
        <v>-</v>
      </c>
      <c r="N20" s="83" t="str">
        <f aca="false">IF(ISBLANK(D20),"",IF(F20&gt;0,"-",1.5*L20))</f>
        <v>-</v>
      </c>
      <c r="O20" s="12" t="n">
        <f aca="false">IF(ISBLANK(D20),"",IF(F20&gt;0,AU20,AK20))</f>
        <v>832.851242314954</v>
      </c>
      <c r="P20" s="12" t="n">
        <f aca="false">IF(ISBLANK(D20),"",IF(F20&gt;0,AU20*G20,AL20))</f>
        <v>832.851242314954</v>
      </c>
      <c r="Q20" s="84" t="n">
        <v>0.6</v>
      </c>
      <c r="R20" s="12" t="n">
        <f aca="false">IF(ISBLANK(D20),"",AT20*Q20)</f>
        <v>826.65</v>
      </c>
      <c r="S20" s="13" t="n">
        <f aca="false">IF(ISBLANK(D20),"",AJ20)</f>
        <v>4.08460231846007</v>
      </c>
      <c r="T20" s="85" t="n">
        <f aca="false">IF(ISBLANK(F20),"",ROUND(S20*10*G20,0)/10/G20)</f>
        <v>4.1</v>
      </c>
      <c r="U20" s="86" t="n">
        <f aca="false">IF(F20&gt;0,(AJ20-E20)/2,"")</f>
        <v>1.54230115923004</v>
      </c>
      <c r="V20" s="86" t="n">
        <f aca="false">IF(F20&gt;0,AN20,"")</f>
        <v>1.68977594217206</v>
      </c>
      <c r="W20" s="87" t="str">
        <f aca="false">IF(F20&gt;0,IF(U20&lt;Paramètres!$B$5,"!!!",""),"")</f>
        <v/>
      </c>
      <c r="X20" s="88" t="n">
        <f aca="false">IF(U20&lt;&gt;"",IF(U20/3&gt;=Paramètres!$B$5,(S20-E20)/2/3,""),"")</f>
        <v>0.514100386410012</v>
      </c>
      <c r="Y20" s="88" t="n">
        <f aca="false">IF(U20&lt;&gt;"",IF(U20/3&gt;=Paramètres!$B$5,AV20,""),"")</f>
        <v>0.564482224278193</v>
      </c>
      <c r="Z20" s="88" t="n">
        <f aca="false">IF(X20&lt;&gt;"",Y20*2,"")</f>
        <v>1.12896444855639</v>
      </c>
      <c r="AB20" s="1"/>
      <c r="AC20" s="79" t="str">
        <f aca="false">INDEX('Charge de rupture par diamètre'!$C$1:$AC$1,AR20)</f>
        <v>Stephen Paulello France</v>
      </c>
      <c r="AD20" s="13" t="n">
        <f aca="false">IF(ISBLANK(D20),"-",$A$4/16 * 2^((C20-1)/12))</f>
        <v>41.2034446141087</v>
      </c>
      <c r="AE20" s="13" t="n">
        <f aca="false">AF20/(AF$9*SQRT(1+$L20*AF$9^2))</f>
        <v>142.596439263355</v>
      </c>
      <c r="AF20" s="13" t="n">
        <f aca="false">AG32</f>
        <v>285.243996350317</v>
      </c>
      <c r="AG20" s="13" t="n">
        <f aca="false">$AE20*AG$9*SQRT(1+$G20*AG$9^2)</f>
        <v>201.661818352348</v>
      </c>
      <c r="AH20" s="19" t="n">
        <f aca="false">IF(AND(C20&gt;12,F8="",AD20&gt;$A$4),AH8*2*(1+N8),IF(AD20&gt;=$A$4/2,AD20,AD20))</f>
        <v>41.2034446141087</v>
      </c>
      <c r="AI20" s="19" t="e">
        <f aca="false">IF(AND(C20&gt;12,F8="",AD20&gt;$A$4),AH8*2*(1+N8),IF(AD20&gt;=$A$4/2,AD20,AH32/2/(1+N20)))</f>
        <v>#VALUE!</v>
      </c>
      <c r="AJ20" s="85" t="n">
        <f aca="false">IF(Q20&gt;0,((R20*10^12/PI()/A20^2/D20^2-Paramètres!$B$7*E20^2)*4/PI()/Paramètres!$B$8+E20^2)^0.5,"")</f>
        <v>4.08460231846007</v>
      </c>
      <c r="AK20" s="12" t="n">
        <f aca="false">PI()*Paramètres!$B$7*(E20*A20*D20)^2/10^12</f>
        <v>54.890546164283</v>
      </c>
      <c r="AL20" s="12" t="n">
        <f aca="false">AK20*G20</f>
        <v>54.890546164283</v>
      </c>
      <c r="AM20" s="80" t="n">
        <f aca="false">AK20/AT20</f>
        <v>0.03984071577883</v>
      </c>
      <c r="AN20" s="85" t="n">
        <f aca="false">(-E20+0.1*Paramètres!$B$7/E20/Paramètres!$B$8/PI()*(AW20^2-E20^2)+(E20^2+3.8*Paramètres!$B$7/Paramètres!$B$8/PI()*(AW20^2-E20^2))^0.5)/2</f>
        <v>1.68977594217206</v>
      </c>
      <c r="AO20" s="85" t="n">
        <f aca="false">VLOOKUP(C20,Paramètres!$C$30:$F$37,2,1)</f>
        <v>0.5</v>
      </c>
      <c r="AP20" s="85" t="n">
        <f aca="false">VLOOKUP(C20,Paramètres!$C$30:$F$37,4,1)</f>
        <v>0.65</v>
      </c>
      <c r="AQ20" s="11" t="b">
        <f aca="false">AND(I20&gt;=AO20,I20&lt;=AP20)</f>
        <v>1</v>
      </c>
      <c r="AR20" s="12" t="n">
        <f aca="false">HLOOKUP(H20,'Charge de rupture par diamètre'!$D$16:$AC$17,2,0)</f>
        <v>3</v>
      </c>
      <c r="AS20" s="12" t="n">
        <f aca="false">VLOOKUP(E20,'Charge de rupture par diamètre'!$C$16:$AC$53,AR20,1)</f>
        <v>1837</v>
      </c>
      <c r="AT20" s="12" t="n">
        <f aca="false">AS20*Paramètres!$B$9</f>
        <v>1377.75</v>
      </c>
      <c r="AU20" s="79" t="n">
        <f aca="false">PI()*A20^2*D20^2*(Paramètres!$B$7*E20^2+Paramètres!$B$8*PI()/4*(F20^2-E20^2))/10^12</f>
        <v>832.851242314954</v>
      </c>
      <c r="AV20" s="13" t="n">
        <f aca="false">0.183*(-E20+(E20^2+4*Paramètres!$B$7/PI()/Paramètres!$B$8*(AW20^2-E20^2))^0.5)</f>
        <v>0.564482224278193</v>
      </c>
      <c r="AW20" s="85" t="n">
        <f aca="false">(R20/PI()/Paramètres!$B$7)^0.5/A20/D20*10^6</f>
        <v>3.8807177675484</v>
      </c>
      <c r="AX20" s="12" t="e">
        <f aca="false">Q20*VLOOKUP(H20,Paramètres!$B$15:$C$18,2,0)*Paramètres!$B$9</f>
        <v>#N/A</v>
      </c>
      <c r="AY20" s="13" t="e">
        <f aca="false">(AX20/PI()/Paramètres!$B$7)^0.5/A20/D20*10^6</f>
        <v>#N/A</v>
      </c>
      <c r="AZ20" s="12" t="n">
        <f aca="false">(IF(F20&gt;0,(F20*F20 -E20*E20)/Paramètres!$B$7*Paramètres!$B$8,0)+E20*E20)*D20*G20</f>
        <v>21807.1594904459</v>
      </c>
      <c r="BA20" s="80" t="n">
        <f aca="false">-1+AZ20/AZ19</f>
        <v>-0.0962088202637682</v>
      </c>
      <c r="BB20" s="80" t="str">
        <f aca="false">IF(F20&gt;0,"",0.234*Paramètres!$B$12*10^9*IF(F20&gt;0,E20,E20)^2/Paramètres!$B$7/A20^2/D20^4*10^6)</f>
        <v/>
      </c>
      <c r="BC20" s="11" t="n">
        <v>2</v>
      </c>
      <c r="BD20" s="80" t="n">
        <f aca="false">BC20*SQRT(1+L20*BC20^2)-BC20</f>
        <v>0.000358478962528608</v>
      </c>
      <c r="BE20" s="11" t="n">
        <f aca="false">IF(F20&gt;0,PI()^2*Paramètres!$B$12*10^9/8/O20*(E20^4+E20^2*F20^2)*10^-12/D20^2/10^-6,"-")</f>
        <v>0.0040648697682034</v>
      </c>
      <c r="BF20" s="11" t="n">
        <f aca="false">IF(ISBLANK(D20),"-",PI()^3*E20^4*Paramètres!$B$12*10^9/64/O20/(D20/1000)^2*10^-12)</f>
        <v>8.96277723300607E-005</v>
      </c>
      <c r="BG20" s="90" t="n">
        <f aca="false">(Paramètres!$B$12*10^9)^0.5/Paramètres!$B$7/2/D20*1000</f>
        <v>25.0017579108772</v>
      </c>
    </row>
    <row r="21" customFormat="false" ht="12.8" hidden="false" customHeight="false" outlineLevel="0" collapsed="false">
      <c r="A21" s="79" t="n">
        <f aca="false">IF(ISBLANK(D21),"-",IF(AND($A$6,$A$4/2&lt;AD21),AG21,AD21))</f>
        <v>43.6535289291255</v>
      </c>
      <c r="B21" s="79" t="str">
        <f aca="false">IF(ISBLANK(D21),"",VLOOKUP(MOD(C21-Paramètres!$B$54,12)+1,Paramètres!$B$40:$C$52,2)&amp;" "&amp;(TRUNC((C21-Paramètres!$B$54+120)/12)-10+1))</f>
        <v>Fa 0</v>
      </c>
      <c r="C21" s="11" t="n">
        <f aca="false">IF(ISBLANK(D21),"",C20+1)</f>
        <v>9</v>
      </c>
      <c r="D21" s="25" t="n">
        <v>1140</v>
      </c>
      <c r="E21" s="6" t="n">
        <v>1</v>
      </c>
      <c r="F21" s="6" t="n">
        <v>3.85</v>
      </c>
      <c r="G21" s="25" t="n">
        <v>2</v>
      </c>
      <c r="H21" s="25" t="s">
        <v>73</v>
      </c>
      <c r="I21" s="80" t="n">
        <f aca="false">IF(ISBLANK(D21),"",IF(F21&gt;0,AU21/AT21,AM21))</f>
        <v>0.593633471994091</v>
      </c>
      <c r="J21" s="81" t="str">
        <f aca="false">IF(ISBLANK(D21),"",IF(AQ21,"","]"&amp;AO21&amp;" -- "&amp;AP21&amp;"["))</f>
        <v/>
      </c>
      <c r="K21" s="80" t="n">
        <f aca="false">IF(ISBLANK(D21),"",BA21)</f>
        <v>0.754084642873262</v>
      </c>
      <c r="L21" s="82" t="n">
        <f aca="false">IF(ISBLANK(D21),"",IF(F21&gt;0,BF21,BF21))</f>
        <v>9.20709258867669E-005</v>
      </c>
      <c r="M21" s="80" t="str">
        <f aca="false">IF(ISBLANK(D21),"",IF(F21&gt;0,"-",N21/(2^(1/12)-1)))</f>
        <v>-</v>
      </c>
      <c r="N21" s="83" t="str">
        <f aca="false">IF(ISBLANK(D21),"",IF(F21&gt;0,"-",1.5*L21))</f>
        <v>-</v>
      </c>
      <c r="O21" s="12" t="n">
        <f aca="false">IF(ISBLANK(D21),"",IF(F21&gt;0,AU21,AK21))</f>
        <v>817.878516039859</v>
      </c>
      <c r="P21" s="12" t="n">
        <f aca="false">IF(ISBLANK(D21),"",IF(F21&gt;0,AU21*G21,AL21))</f>
        <v>1635.75703207972</v>
      </c>
      <c r="Q21" s="84" t="n">
        <v>0.6</v>
      </c>
      <c r="R21" s="12" t="n">
        <f aca="false">IF(ISBLANK(D21),"",AT21*Q21)</f>
        <v>826.65</v>
      </c>
      <c r="S21" s="13" t="n">
        <f aca="false">IF(ISBLANK(D21),"",AJ21)</f>
        <v>3.87074996668191</v>
      </c>
      <c r="T21" s="85" t="n">
        <f aca="false">IF(ISBLANK(F21),"",ROUND(S21*10*G21,0)/10/G21)</f>
        <v>3.85</v>
      </c>
      <c r="U21" s="86" t="n">
        <f aca="false">IF(F21&gt;0,(AJ21-E21)/2,"")</f>
        <v>1.43537498334096</v>
      </c>
      <c r="V21" s="86" t="n">
        <f aca="false">IF(F21&gt;0,AN21,"")</f>
        <v>1.56446434746439</v>
      </c>
      <c r="W21" s="87" t="str">
        <f aca="false">IF(F21&gt;0,IF(U21&lt;Paramètres!$B$5,"!!!",""),"")</f>
        <v/>
      </c>
      <c r="X21" s="88" t="n">
        <f aca="false">IF(U21&lt;&gt;"",IF(U21/3&gt;=Paramètres!$B$5,(S21-E21)/2/3,""),"")</f>
        <v>0.478458327780318</v>
      </c>
      <c r="Y21" s="88" t="n">
        <f aca="false">IF(U21&lt;&gt;"",IF(U21/3&gt;=Paramètres!$B$5,AV21,""),"")</f>
        <v>0.52534724390279</v>
      </c>
      <c r="Z21" s="88" t="n">
        <f aca="false">IF(X21&lt;&gt;"",Y21*2,"")</f>
        <v>1.05069448780558</v>
      </c>
      <c r="AB21" s="1"/>
      <c r="AC21" s="79" t="str">
        <f aca="false">INDEX('Charge de rupture par diamètre'!$C$1:$AC$1,AR21)</f>
        <v>Stephen Paulello France</v>
      </c>
      <c r="AD21" s="13" t="n">
        <f aca="false">IF(ISBLANK(D21),"-",$A$4/16 * 2^((C21-1)/12))</f>
        <v>43.6535289291255</v>
      </c>
      <c r="AE21" s="13" t="n">
        <f aca="false">AF21/(AF$9*SQRT(1+$L21*AF$9^2))</f>
        <v>151.083995033098</v>
      </c>
      <c r="AF21" s="13" t="n">
        <f aca="false">AG33</f>
        <v>302.223626717387</v>
      </c>
      <c r="AG21" s="13" t="n">
        <f aca="false">$AE21*AG$9*SQRT(1+$G21*AG$9^2)</f>
        <v>261.685155607809</v>
      </c>
      <c r="AH21" s="19" t="n">
        <f aca="false">IF(AND(C21&gt;12,F9="",AD21&gt;$A$4),AH9*2*(1+N9),IF(AD21&gt;=$A$4/2,AD21,AD21))</f>
        <v>43.6535289291255</v>
      </c>
      <c r="AI21" s="19" t="e">
        <f aca="false">IF(AND(C21&gt;12,F9="",AD21&gt;$A$4),AH9*2*(1+N9),IF(AD21&gt;=$A$4/2,AD21,AH33/2/(1+N21)))</f>
        <v>#VALUE!</v>
      </c>
      <c r="AJ21" s="85" t="n">
        <f aca="false">IF(Q21&gt;0,((R21*10^12/PI()/A21^2/D21^2-Paramètres!$B$7*E21^2)*4/PI()/Paramètres!$B$8+E21^2)^0.5,"")</f>
        <v>3.87074996668191</v>
      </c>
      <c r="AK21" s="12" t="n">
        <f aca="false">PI()*Paramètres!$B$7*(E21*A21*D21)^2/10^12</f>
        <v>61.0756288572251</v>
      </c>
      <c r="AL21" s="12" t="n">
        <f aca="false">AK21*G21</f>
        <v>122.15125771445</v>
      </c>
      <c r="AM21" s="80" t="n">
        <f aca="false">AK21/AT21</f>
        <v>0.0443299792104701</v>
      </c>
      <c r="AN21" s="85" t="n">
        <f aca="false">(-E21+0.1*Paramètres!$B$7/E21/Paramètres!$B$8/PI()*(AW21^2-E21^2)+(E21^2+3.8*Paramètres!$B$7/Paramètres!$B$8/PI()*(AW21^2-E21^2))^0.5)/2</f>
        <v>1.56446434746439</v>
      </c>
      <c r="AO21" s="85" t="n">
        <f aca="false">VLOOKUP(C21,Paramètres!$C$30:$F$37,2,1)</f>
        <v>0.5</v>
      </c>
      <c r="AP21" s="85" t="n">
        <f aca="false">VLOOKUP(C21,Paramètres!$C$30:$F$37,4,1)</f>
        <v>0.65</v>
      </c>
      <c r="AQ21" s="11" t="b">
        <f aca="false">AND(I21&gt;=AO21,I21&lt;=AP21)</f>
        <v>1</v>
      </c>
      <c r="AR21" s="12" t="n">
        <f aca="false">HLOOKUP(H21,'Charge de rupture par diamètre'!$D$16:$AC$17,2,0)</f>
        <v>3</v>
      </c>
      <c r="AS21" s="12" t="n">
        <f aca="false">VLOOKUP(E21,'Charge de rupture par diamètre'!$C$16:$AC$53,AR21,1)</f>
        <v>1837</v>
      </c>
      <c r="AT21" s="12" t="n">
        <f aca="false">AS21*Paramètres!$B$9</f>
        <v>1377.75</v>
      </c>
      <c r="AU21" s="79" t="n">
        <f aca="false">PI()*A21^2*D21^2*(Paramètres!$B$7*E21^2+Paramètres!$B$8*PI()/4*(F21^2-E21^2))/10^12</f>
        <v>817.878516039859</v>
      </c>
      <c r="AV21" s="13" t="n">
        <f aca="false">0.183*(-E21+(E21^2+4*Paramètres!$B$7/PI()/Paramètres!$B$8*(AW21^2-E21^2))^0.5)</f>
        <v>0.52534724390279</v>
      </c>
      <c r="AW21" s="85" t="n">
        <f aca="false">(R21/PI()/Paramètres!$B$7)^0.5/A21/D21*10^6</f>
        <v>3.67897520948426</v>
      </c>
      <c r="AX21" s="12" t="e">
        <f aca="false">Q21*VLOOKUP(H21,Paramètres!$B$15:$C$18,2,0)*Paramètres!$B$9</f>
        <v>#N/A</v>
      </c>
      <c r="AY21" s="13" t="e">
        <f aca="false">(AX21/PI()/Paramètres!$B$7)^0.5/A21/D21*10^6</f>
        <v>#N/A</v>
      </c>
      <c r="AZ21" s="12" t="n">
        <f aca="false">(IF(F21&gt;0,(F21*F21 -E21*E21)/Paramètres!$B$7*Paramètres!$B$8,0)+E21*E21)*D21*G21</f>
        <v>38251.603566879</v>
      </c>
      <c r="BA21" s="80" t="n">
        <f aca="false">-1+AZ21/AZ20</f>
        <v>0.754084642873262</v>
      </c>
      <c r="BB21" s="80" t="str">
        <f aca="false">IF(F21&gt;0,"",0.234*Paramètres!$B$12*10^9*IF(F21&gt;0,E21,E21)^2/Paramètres!$B$7/A21^2/D21^4*10^6)</f>
        <v/>
      </c>
      <c r="BC21" s="11" t="n">
        <v>2</v>
      </c>
      <c r="BD21" s="80" t="n">
        <f aca="false">BC21*SQRT(1+L21*BC21^2)-BC21</f>
        <v>0.000368249801567799</v>
      </c>
      <c r="BE21" s="11" t="n">
        <f aca="false">IF(F21&gt;0,PI()^2*Paramètres!$B$12*10^9/8/O21*(E21^4+E21^2*F21^2)*10^-12/D21^2/10^-6,"-")</f>
        <v>0.00370969093826659</v>
      </c>
      <c r="BF21" s="11" t="n">
        <f aca="false">IF(ISBLANK(D21),"-",PI()^3*E21^4*Paramètres!$B$12*10^9/64/O21/(D21/1000)^2*10^-12)</f>
        <v>9.20709258867669E-005</v>
      </c>
      <c r="BG21" s="90" t="n">
        <f aca="false">(Paramètres!$B$12*10^9)^0.5/Paramètres!$B$7/2/D21*1000</f>
        <v>25.1114147438197</v>
      </c>
    </row>
    <row r="22" customFormat="false" ht="12.8" hidden="false" customHeight="false" outlineLevel="0" collapsed="false">
      <c r="A22" s="79" t="n">
        <f aca="false">IF(ISBLANK(D22),"-",IF(AND($A$6,$A$4/2&lt;AD22),AG22,AD22))</f>
        <v>46.2493028389543</v>
      </c>
      <c r="B22" s="79" t="str">
        <f aca="false">IF(ISBLANK(D22),"",VLOOKUP(MOD(C22-Paramètres!$B$54,12)+1,Paramètres!$B$40:$C$52,2)&amp;" "&amp;(TRUNC((C22-Paramètres!$B$54+120)/12)-10+1))</f>
        <v>Fa# 0</v>
      </c>
      <c r="C22" s="11" t="n">
        <f aca="false">IF(ISBLANK(D22),"",C21+1)</f>
        <v>10</v>
      </c>
      <c r="D22" s="25" t="n">
        <v>1131</v>
      </c>
      <c r="E22" s="6" t="n">
        <v>1</v>
      </c>
      <c r="F22" s="6" t="n">
        <v>3.7</v>
      </c>
      <c r="G22" s="25" t="n">
        <v>2</v>
      </c>
      <c r="H22" s="25" t="s">
        <v>73</v>
      </c>
      <c r="I22" s="80" t="n">
        <f aca="false">IF(ISBLANK(D22),"",IF(F22&gt;0,AU22/AT22,AM22))</f>
        <v>0.606129264089326</v>
      </c>
      <c r="J22" s="81" t="str">
        <f aca="false">IF(ISBLANK(D22),"",IF(AQ22,"","]"&amp;AO22&amp;" -- "&amp;AP22&amp;"["))</f>
        <v/>
      </c>
      <c r="K22" s="80" t="n">
        <f aca="false">IF(ISBLANK(D22),"",BA22)</f>
        <v>-0.0843345326069807</v>
      </c>
      <c r="L22" s="82" t="n">
        <f aca="false">IF(ISBLANK(D22),"",IF(F22&gt;0,BF22,BF22))</f>
        <v>9.1613638463705E-005</v>
      </c>
      <c r="M22" s="80" t="str">
        <f aca="false">IF(ISBLANK(D22),"",IF(F22&gt;0,"-",N22/(2^(1/12)-1)))</f>
        <v>-</v>
      </c>
      <c r="N22" s="83" t="str">
        <f aca="false">IF(ISBLANK(D22),"",IF(F22&gt;0,"-",1.5*L22))</f>
        <v>-</v>
      </c>
      <c r="O22" s="12" t="n">
        <f aca="false">IF(ISBLANK(D22),"",IF(F22&gt;0,AU22,AK22))</f>
        <v>835.094593599069</v>
      </c>
      <c r="P22" s="12" t="n">
        <f aca="false">IF(ISBLANK(D22),"",IF(F22&gt;0,AU22*G22,AL22))</f>
        <v>1670.18918719814</v>
      </c>
      <c r="Q22" s="84" t="n">
        <v>0.6</v>
      </c>
      <c r="R22" s="12" t="n">
        <f aca="false">IF(ISBLANK(D22),"",AT22*Q22)</f>
        <v>826.65</v>
      </c>
      <c r="S22" s="13" t="n">
        <f aca="false">IF(ISBLANK(D22),"",AJ22)</f>
        <v>3.68108636026805</v>
      </c>
      <c r="T22" s="85" t="n">
        <f aca="false">IF(ISBLANK(F22),"",ROUND(S22*10*G22,0)/10/G22)</f>
        <v>3.7</v>
      </c>
      <c r="U22" s="86" t="n">
        <f aca="false">IF(F22&gt;0,(AJ22-E22)/2,"")</f>
        <v>1.34054318013402</v>
      </c>
      <c r="V22" s="86" t="n">
        <f aca="false">IF(F22&gt;0,AN22,"")</f>
        <v>1.45430012169573</v>
      </c>
      <c r="W22" s="87" t="str">
        <f aca="false">IF(F22&gt;0,IF(U22&lt;Paramètres!$B$5,"!!!",""),"")</f>
        <v/>
      </c>
      <c r="X22" s="88" t="n">
        <f aca="false">IF(U22&lt;&gt;"",IF(U22/3&gt;=Paramètres!$B$5,(S22-E22)/2/3,""),"")</f>
        <v>0.446847726711341</v>
      </c>
      <c r="Y22" s="88" t="n">
        <f aca="false">IF(U22&lt;&gt;"",IF(U22/3&gt;=Paramètres!$B$5,AV22,""),"")</f>
        <v>0.490638803929052</v>
      </c>
      <c r="Z22" s="88" t="n">
        <f aca="false">IF(X22&lt;&gt;"",Y22*2,"")</f>
        <v>0.981277607858105</v>
      </c>
      <c r="AB22" s="1"/>
      <c r="AC22" s="79" t="str">
        <f aca="false">INDEX('Charge de rupture par diamètre'!$C$1:$AC$1,AR22)</f>
        <v>Stephen Paulello France</v>
      </c>
      <c r="AD22" s="13" t="n">
        <f aca="false">IF(ISBLANK(D22),"-",$A$4/16 * 2^((C22-1)/12))</f>
        <v>46.2493028389543</v>
      </c>
      <c r="AE22" s="13" t="n">
        <f aca="false">AF22/(AF$9*SQRT(1+$L22*AF$9^2))</f>
        <v>160.070156007561</v>
      </c>
      <c r="AF22" s="13" t="n">
        <f aca="false">AG34</f>
        <v>320.198965079799</v>
      </c>
      <c r="AG22" s="13" t="n">
        <f aca="false">$AE22*AG$9*SQRT(1+$G22*AG$9^2)</f>
        <v>277.249642980573</v>
      </c>
      <c r="AH22" s="19" t="n">
        <f aca="false">IF(AND(C22&gt;12,F10="",AD22&gt;$A$4),AH10*2*(1+N10),IF(AD22&gt;=$A$4/2,AD22,AD22))</f>
        <v>46.2493028389543</v>
      </c>
      <c r="AI22" s="19" t="e">
        <f aca="false">IF(AND(C22&gt;12,F10="",AD22&gt;$A$4),AH10*2*(1+N10),IF(AD22&gt;=$A$4/2,AD22,AH34/2/(1+N22)))</f>
        <v>#VALUE!</v>
      </c>
      <c r="AJ22" s="85" t="n">
        <f aca="false">IF(Q22&gt;0,((R22*10^12/PI()/A22^2/D22^2-Paramètres!$B$7*E22^2)*4/PI()/Paramètres!$B$8+E22^2)^0.5,"")</f>
        <v>3.68108636026805</v>
      </c>
      <c r="AK22" s="12" t="n">
        <f aca="false">PI()*Paramètres!$B$7*(E22*A22*D22)^2/10^12</f>
        <v>67.4768997320926</v>
      </c>
      <c r="AL22" s="12" t="n">
        <f aca="false">AK22*G22</f>
        <v>134.953799464185</v>
      </c>
      <c r="AM22" s="80" t="n">
        <f aca="false">AK22/AT22</f>
        <v>0.0489761565829015</v>
      </c>
      <c r="AN22" s="85" t="n">
        <f aca="false">(-E22+0.1*Paramètres!$B$7/E22/Paramètres!$B$8/PI()*(AW22^2-E22^2)+(E22^2+3.8*Paramètres!$B$7/Paramètres!$B$8/PI()*(AW22^2-E22^2))^0.5)/2</f>
        <v>1.45430012169573</v>
      </c>
      <c r="AO22" s="85" t="n">
        <f aca="false">VLOOKUP(C22,Paramètres!$C$30:$F$37,2,1)</f>
        <v>0.5</v>
      </c>
      <c r="AP22" s="85" t="n">
        <f aca="false">VLOOKUP(C22,Paramètres!$C$30:$F$37,4,1)</f>
        <v>0.65</v>
      </c>
      <c r="AQ22" s="11" t="b">
        <f aca="false">AND(I22&gt;=AO22,I22&lt;=AP22)</f>
        <v>1</v>
      </c>
      <c r="AR22" s="12" t="n">
        <f aca="false">HLOOKUP(H22,'Charge de rupture par diamètre'!$D$16:$AC$17,2,0)</f>
        <v>3</v>
      </c>
      <c r="AS22" s="12" t="n">
        <f aca="false">VLOOKUP(E22,'Charge de rupture par diamètre'!$C$16:$AC$53,AR22,1)</f>
        <v>1837</v>
      </c>
      <c r="AT22" s="12" t="n">
        <f aca="false">AS22*Paramètres!$B$9</f>
        <v>1377.75</v>
      </c>
      <c r="AU22" s="79" t="n">
        <f aca="false">PI()*A22^2*D22^2*(Paramètres!$B$7*E22^2+Paramètres!$B$8*PI()/4*(F22^2-E22^2))/10^12</f>
        <v>835.094593599069</v>
      </c>
      <c r="AV22" s="13" t="n">
        <f aca="false">0.183*(-E22+(E22^2+4*Paramètres!$B$7/PI()/Paramètres!$B$8*(AW22^2-E22^2))^0.5)</f>
        <v>0.490638803929052</v>
      </c>
      <c r="AW22" s="85" t="n">
        <f aca="false">(R22/PI()/Paramètres!$B$7)^0.5/A22/D22*10^6</f>
        <v>3.50012274521347</v>
      </c>
      <c r="AX22" s="12" t="e">
        <f aca="false">Q22*VLOOKUP(H22,Paramètres!$B$15:$C$18,2,0)*Paramètres!$B$9</f>
        <v>#N/A</v>
      </c>
      <c r="AY22" s="13" t="e">
        <f aca="false">(AX22/PI()/Paramètres!$B$7)^0.5/A22/D22*10^6</f>
        <v>#N/A</v>
      </c>
      <c r="AZ22" s="12" t="n">
        <f aca="false">(IF(F22&gt;0,(F22*F22 -E22*E22)/Paramètres!$B$7*Paramètres!$B$8,0)+E22*E22)*D22*G22</f>
        <v>35025.6724585987</v>
      </c>
      <c r="BA22" s="80" t="n">
        <f aca="false">-1+AZ22/AZ21</f>
        <v>-0.0843345326069807</v>
      </c>
      <c r="BB22" s="80" t="str">
        <f aca="false">IF(F22&gt;0,"",0.234*Paramètres!$B$12*10^9*IF(F22&gt;0,E22,E22)^2/Paramètres!$B$7/A22^2/D22^4*10^6)</f>
        <v/>
      </c>
      <c r="BC22" s="11" t="n">
        <v>2</v>
      </c>
      <c r="BD22" s="80" t="n">
        <f aca="false">BC22*SQRT(1+L22*BC22^2)-BC22</f>
        <v>0.000366420987769622</v>
      </c>
      <c r="BE22" s="11" t="n">
        <f aca="false">IF(F22&gt;0,PI()^2*Paramètres!$B$12*10^9/8/O22*(E22^4+E22^2*F22^2)*10^-12/D22^2/10^-6,"-")</f>
        <v>0.00342706263332777</v>
      </c>
      <c r="BF22" s="11" t="n">
        <f aca="false">IF(ISBLANK(D22),"-",PI()^3*E22^4*Paramètres!$B$12*10^9/64/O22/(D22/1000)^2*10^-12)</f>
        <v>9.1613638463705E-005</v>
      </c>
      <c r="BG22" s="90" t="n">
        <f aca="false">(Paramètres!$B$12*10^9)^0.5/Paramètres!$B$7/2/D22*1000</f>
        <v>25.3112403253355</v>
      </c>
    </row>
    <row r="23" customFormat="false" ht="12.8" hidden="false" customHeight="false" outlineLevel="0" collapsed="false">
      <c r="A23" s="79" t="n">
        <f aca="false">IF(ISBLANK(D23),"-",IF(AND($A$6,$A$4/2&lt;AD23),AG23,AD23))</f>
        <v>48.9994294977187</v>
      </c>
      <c r="B23" s="79" t="str">
        <f aca="false">IF(ISBLANK(D23),"",VLOOKUP(MOD(C23-Paramètres!$B$54,12)+1,Paramètres!$B$40:$C$52,2)&amp;" "&amp;(TRUNC((C23-Paramètres!$B$54+120)/12)-10+1))</f>
        <v>Sol 0</v>
      </c>
      <c r="C23" s="11" t="n">
        <f aca="false">IF(ISBLANK(D23),"",C22+1)</f>
        <v>11</v>
      </c>
      <c r="D23" s="25" t="n">
        <v>1124</v>
      </c>
      <c r="E23" s="6" t="n">
        <v>1</v>
      </c>
      <c r="F23" s="6" t="n">
        <v>3.5</v>
      </c>
      <c r="G23" s="25" t="n">
        <v>2</v>
      </c>
      <c r="H23" s="25" t="s">
        <v>73</v>
      </c>
      <c r="I23" s="80" t="n">
        <f aca="false">IF(ISBLANK(D23),"",IF(F23&gt;0,AU23/AT23,AM23))</f>
        <v>0.601871658082967</v>
      </c>
      <c r="J23" s="81" t="str">
        <f aca="false">IF(ISBLANK(D23),"",IF(AQ23,"","]"&amp;AO23&amp;" -- "&amp;AP23&amp;"["))</f>
        <v/>
      </c>
      <c r="K23" s="80" t="n">
        <f aca="false">IF(ISBLANK(D23),"",BA23)</f>
        <v>-0.111679061884162</v>
      </c>
      <c r="L23" s="82" t="n">
        <f aca="false">IF(ISBLANK(D23),"",IF(F23&gt;0,BF23,BF23))</f>
        <v>9.34144537021782E-005</v>
      </c>
      <c r="M23" s="80" t="str">
        <f aca="false">IF(ISBLANK(D23),"",IF(F23&gt;0,"-",N23/(2^(1/12)-1)))</f>
        <v>-</v>
      </c>
      <c r="N23" s="83" t="str">
        <f aca="false">IF(ISBLANK(D23),"",IF(F23&gt;0,"-",1.5*L23))</f>
        <v>-</v>
      </c>
      <c r="O23" s="12" t="n">
        <f aca="false">IF(ISBLANK(D23),"",IF(F23&gt;0,AU23,AK23))</f>
        <v>829.228676923808</v>
      </c>
      <c r="P23" s="12" t="n">
        <f aca="false">IF(ISBLANK(D23),"",IF(F23&gt;0,AU23*G23,AL23))</f>
        <v>1658.45735384762</v>
      </c>
      <c r="Q23" s="84" t="n">
        <v>0.6</v>
      </c>
      <c r="R23" s="12" t="n">
        <f aca="false">IF(ISBLANK(D23),"",AT23*Q23)</f>
        <v>826.65</v>
      </c>
      <c r="S23" s="13" t="n">
        <f aca="false">IF(ISBLANK(D23),"",AJ23)</f>
        <v>3.49450234249405</v>
      </c>
      <c r="T23" s="85" t="n">
        <f aca="false">IF(ISBLANK(F23),"",ROUND(S23*10*G23,0)/10/G23)</f>
        <v>3.5</v>
      </c>
      <c r="U23" s="86" t="n">
        <f aca="false">IF(F23&gt;0,(AJ23-E23)/2,"")</f>
        <v>1.24725117124703</v>
      </c>
      <c r="V23" s="86" t="n">
        <f aca="false">IF(F23&gt;0,AN23,"")</f>
        <v>1.34682014341976</v>
      </c>
      <c r="W23" s="87" t="str">
        <f aca="false">IF(F23&gt;0,IF(U23&lt;Paramètres!$B$5,"!!!",""),"")</f>
        <v/>
      </c>
      <c r="X23" s="88" t="n">
        <f aca="false">IF(U23&lt;&gt;"",IF(U23/3&gt;=Paramètres!$B$5,(S23-E23)/2/3,""),"")</f>
        <v>0.415750390415675</v>
      </c>
      <c r="Y23" s="88" t="n">
        <f aca="false">IF(U23&lt;&gt;"",IF(U23/3&gt;=Paramètres!$B$5,AV23,""),"")</f>
        <v>0.456493928676412</v>
      </c>
      <c r="Z23" s="88" t="n">
        <f aca="false">IF(X23&lt;&gt;"",Y23*2,"")</f>
        <v>0.912987857352823</v>
      </c>
      <c r="AB23" s="1"/>
      <c r="AC23" s="79" t="str">
        <f aca="false">INDEX('Charge de rupture par diamètre'!$C$1:$AC$1,AR23)</f>
        <v>Stephen Paulello France</v>
      </c>
      <c r="AD23" s="13" t="n">
        <f aca="false">IF(ISBLANK(D23),"-",$A$4/16 * 2^((C23-1)/12))</f>
        <v>48.9994294977187</v>
      </c>
      <c r="AE23" s="13" t="n">
        <f aca="false">AF23/(AF$9*SQRT(1+$L23*AF$9^2))</f>
        <v>169.595380630219</v>
      </c>
      <c r="AF23" s="13" t="n">
        <f aca="false">AG35</f>
        <v>339.254125981139</v>
      </c>
      <c r="AG23" s="13" t="n">
        <f aca="false">$AE23*AG$9*SQRT(1+$G23*AG$9^2)</f>
        <v>293.747815980522</v>
      </c>
      <c r="AH23" s="19" t="n">
        <f aca="false">IF(AND(C23&gt;12,F11="",AD23&gt;$A$4),AH11*2*(1+N11),IF(AD23&gt;=$A$4/2,AD23,AD23))</f>
        <v>48.9994294977187</v>
      </c>
      <c r="AI23" s="19" t="e">
        <f aca="false">IF(AND(C23&gt;12,F11="",AD23&gt;$A$4),AH11*2*(1+N11),IF(AD23&gt;=$A$4/2,AD23,AH35/2/(1+N23)))</f>
        <v>#VALUE!</v>
      </c>
      <c r="AJ23" s="85" t="n">
        <f aca="false">IF(Q23&gt;0,((R23*10^12/PI()/A23^2/D23^2-Paramètres!$B$7*E23^2)*4/PI()/Paramètres!$B$8+E23^2)^0.5,"")</f>
        <v>3.49450234249405</v>
      </c>
      <c r="AK23" s="12" t="n">
        <f aca="false">PI()*Paramètres!$B$7*(E23*A23*D23)^2/10^12</f>
        <v>74.8056152150583</v>
      </c>
      <c r="AL23" s="12" t="n">
        <f aca="false">AK23*G23</f>
        <v>149.611230430117</v>
      </c>
      <c r="AM23" s="80" t="n">
        <f aca="false">AK23/AT23</f>
        <v>0.0542954928071554</v>
      </c>
      <c r="AN23" s="85" t="n">
        <f aca="false">(-E23+0.1*Paramètres!$B$7/E23/Paramètres!$B$8/PI()*(AW23^2-E23^2)+(E23^2+3.8*Paramètres!$B$7/Paramètres!$B$8/PI()*(AW23^2-E23^2))^0.5)/2</f>
        <v>1.34682014341976</v>
      </c>
      <c r="AO23" s="85" t="n">
        <f aca="false">VLOOKUP(C23,Paramètres!$C$30:$F$37,2,1)</f>
        <v>0.5</v>
      </c>
      <c r="AP23" s="85" t="n">
        <f aca="false">VLOOKUP(C23,Paramètres!$C$30:$F$37,4,1)</f>
        <v>0.65</v>
      </c>
      <c r="AQ23" s="11" t="b">
        <f aca="false">AND(I23&gt;=AO23,I23&lt;=AP23)</f>
        <v>1</v>
      </c>
      <c r="AR23" s="12" t="n">
        <f aca="false">HLOOKUP(H23,'Charge de rupture par diamètre'!$D$16:$AC$17,2,0)</f>
        <v>3</v>
      </c>
      <c r="AS23" s="12" t="n">
        <f aca="false">VLOOKUP(E23,'Charge de rupture par diamètre'!$C$16:$AC$53,AR23,1)</f>
        <v>1837</v>
      </c>
      <c r="AT23" s="12" t="n">
        <f aca="false">AS23*Paramètres!$B$9</f>
        <v>1377.75</v>
      </c>
      <c r="AU23" s="79" t="n">
        <f aca="false">PI()*A23^2*D23^2*(Paramètres!$B$7*E23^2+Paramètres!$B$8*PI()/4*(F23^2-E23^2))/10^12</f>
        <v>829.228676923808</v>
      </c>
      <c r="AV23" s="13" t="n">
        <f aca="false">0.183*(-E23+(E23^2+4*Paramètres!$B$7/PI()/Paramètres!$B$8*(AW23^2-E23^2))^0.5)</f>
        <v>0.456493928676412</v>
      </c>
      <c r="AW23" s="85" t="n">
        <f aca="false">(R23/PI()/Paramètres!$B$7)^0.5/A23/D23*10^6</f>
        <v>3.3242504447932</v>
      </c>
      <c r="AX23" s="12" t="e">
        <f aca="false">Q23*VLOOKUP(H23,Paramètres!$B$15:$C$18,2,0)*Paramètres!$B$9</f>
        <v>#N/A</v>
      </c>
      <c r="AY23" s="13" t="e">
        <f aca="false">(AX23/PI()/Paramètres!$B$7)^0.5/A23/D23*10^6</f>
        <v>#N/A</v>
      </c>
      <c r="AZ23" s="12" t="n">
        <f aca="false">(IF(F23&gt;0,(F23*F23 -E23*E23)/Paramètres!$B$7*Paramètres!$B$8,0)+E23*E23)*D23*G23</f>
        <v>31114.0382165605</v>
      </c>
      <c r="BA23" s="80" t="n">
        <f aca="false">-1+AZ23/AZ22</f>
        <v>-0.111679061884162</v>
      </c>
      <c r="BB23" s="80" t="str">
        <f aca="false">IF(F23&gt;0,"",0.234*Paramètres!$B$12*10^9*IF(F23&gt;0,E23,E23)^2/Paramètres!$B$7/A23^2/D23^4*10^6)</f>
        <v/>
      </c>
      <c r="BC23" s="11" t="n">
        <v>2</v>
      </c>
      <c r="BD23" s="80" t="n">
        <f aca="false">BC23*SQRT(1+L23*BC23^2)-BC23</f>
        <v>0.000373622916288063</v>
      </c>
      <c r="BE23" s="11" t="n">
        <f aca="false">IF(F23&gt;0,PI()^2*Paramètres!$B$12*10^9/8/O23*(E23^4+E23^2*F23^2)*10^-12/D23^2/10^-6,"-")</f>
        <v>0.0031518828773413</v>
      </c>
      <c r="BF23" s="11" t="n">
        <f aca="false">IF(ISBLANK(D23),"-",PI()^3*E23^4*Paramètres!$B$12*10^9/64/O23/(D23/1000)^2*10^-12)</f>
        <v>9.34144537021782E-005</v>
      </c>
      <c r="BG23" s="90" t="n">
        <f aca="false">(Paramètres!$B$12*10^9)^0.5/Paramètres!$B$7/2/D23*1000</f>
        <v>25.4688726049417</v>
      </c>
    </row>
    <row r="24" customFormat="false" ht="12.8" hidden="false" customHeight="false" outlineLevel="0" collapsed="false">
      <c r="A24" s="79" t="n">
        <f aca="false">IF(ISBLANK(D24),"-",IF(AND($A$6,$A$4/2&lt;AD24),AG24,AD24))</f>
        <v>51.9130871974931</v>
      </c>
      <c r="B24" s="79" t="str">
        <f aca="false">IF(ISBLANK(D24),"",VLOOKUP(MOD(C24-Paramètres!$B$54,12)+1,Paramètres!$B$40:$C$52,2)&amp;" "&amp;(TRUNC((C24-Paramètres!$B$54+120)/12)-10+1))</f>
        <v>Sol# 0</v>
      </c>
      <c r="C24" s="11" t="n">
        <f aca="false">IF(ISBLANK(D24),"",C23+1)</f>
        <v>12</v>
      </c>
      <c r="D24" s="25" t="n">
        <v>1115</v>
      </c>
      <c r="E24" s="6" t="n">
        <v>1</v>
      </c>
      <c r="F24" s="6" t="n">
        <v>3.3</v>
      </c>
      <c r="G24" s="25" t="n">
        <v>2</v>
      </c>
      <c r="H24" s="25" t="s">
        <v>73</v>
      </c>
      <c r="I24" s="80" t="n">
        <f aca="false">IF(ISBLANK(D24),"",IF(F24&gt;0,AU24/AT24,AM24))</f>
        <v>0.591685316867942</v>
      </c>
      <c r="J24" s="81" t="str">
        <f aca="false">IF(ISBLANK(D24),"",IF(AQ24,"","]"&amp;AO24&amp;" -- "&amp;AP24&amp;"["))</f>
        <v/>
      </c>
      <c r="K24" s="80" t="n">
        <f aca="false">IF(ISBLANK(D24),"",BA24)</f>
        <v>-0.1192637071271</v>
      </c>
      <c r="L24" s="82" t="n">
        <f aca="false">IF(ISBLANK(D24),"",IF(F24&gt;0,BF24,BF24))</f>
        <v>9.6562848172449E-005</v>
      </c>
      <c r="M24" s="80" t="str">
        <f aca="false">IF(ISBLANK(D24),"",IF(F24&gt;0,"-",N24/(2^(1/12)-1)))</f>
        <v>-</v>
      </c>
      <c r="N24" s="83" t="str">
        <f aca="false">IF(ISBLANK(D24),"",IF(F24&gt;0,"-",1.5*L24))</f>
        <v>-</v>
      </c>
      <c r="O24" s="12" t="n">
        <f aca="false">IF(ISBLANK(D24),"",IF(F24&gt;0,AU24,AK24))</f>
        <v>815.194445314807</v>
      </c>
      <c r="P24" s="12" t="n">
        <f aca="false">IF(ISBLANK(D24),"",IF(F24&gt;0,AU24*G24,AL24))</f>
        <v>1630.38889062961</v>
      </c>
      <c r="Q24" s="84" t="n">
        <v>0.6</v>
      </c>
      <c r="R24" s="12" t="n">
        <f aca="false">IF(ISBLANK(D24),"",AT24*Q24)</f>
        <v>826.65</v>
      </c>
      <c r="S24" s="13" t="n">
        <f aca="false">IF(ISBLANK(D24),"",AJ24)</f>
        <v>3.3233500172078</v>
      </c>
      <c r="T24" s="85" t="n">
        <f aca="false">IF(ISBLANK(F24),"",ROUND(S24*10*G24,0)/10/G24)</f>
        <v>3.3</v>
      </c>
      <c r="U24" s="86" t="n">
        <f aca="false">IF(F24&gt;0,(AJ24-E24)/2,"")</f>
        <v>1.1616750086039</v>
      </c>
      <c r="V24" s="86" t="n">
        <f aca="false">IF(F24&gt;0,AN24,"")</f>
        <v>1.249013039407</v>
      </c>
      <c r="W24" s="87" t="str">
        <f aca="false">IF(F24&gt;0,IF(U24&lt;Paramètres!$B$5,"!!!",""),"")</f>
        <v/>
      </c>
      <c r="X24" s="88" t="n">
        <f aca="false">IF(U24&lt;&gt;"",IF(U24/3&gt;=Paramètres!$B$5,(S24-E24)/2/3,""),"")</f>
        <v>0.387225002867966</v>
      </c>
      <c r="Y24" s="88" t="n">
        <f aca="false">IF(U24&lt;&gt;"",IF(U24/3&gt;=Paramètres!$B$5,AV24,""),"")</f>
        <v>0.425173053149027</v>
      </c>
      <c r="Z24" s="88" t="n">
        <f aca="false">IF(X24&lt;&gt;"",Y24*2,"")</f>
        <v>0.850346106298054</v>
      </c>
      <c r="AB24" s="1"/>
      <c r="AC24" s="79" t="str">
        <f aca="false">INDEX('Charge de rupture par diamètre'!$C$1:$AC$1,AR24)</f>
        <v>Stephen Paulello France</v>
      </c>
      <c r="AD24" s="13" t="n">
        <f aca="false">IF(ISBLANK(D24),"-",$A$4/16 * 2^((C24-1)/12))</f>
        <v>51.9130871974931</v>
      </c>
      <c r="AE24" s="13" t="n">
        <f aca="false">AF24/(AF$9*SQRT(1+$L24*AF$9^2))</f>
        <v>179.676839478636</v>
      </c>
      <c r="AF24" s="13" t="n">
        <f aca="false">AG36</f>
        <v>359.423072686544</v>
      </c>
      <c r="AG24" s="13" t="n">
        <f aca="false">$AE24*AG$9*SQRT(1+$G24*AG$9^2)</f>
        <v>311.209414920394</v>
      </c>
      <c r="AH24" s="19" t="n">
        <f aca="false">IF(AND(C24&gt;12,F12="",AD24&gt;$A$4),AH12*2*(1+N12),IF(AD24&gt;=$A$4/2,AD24,AD24))</f>
        <v>51.9130871974931</v>
      </c>
      <c r="AI24" s="19" t="e">
        <f aca="false">IF(AND(C24&gt;12,F12="",AD24&gt;$A$4),AH12*2*(1+N12),IF(AD24&gt;=$A$4/2,AD24,AH36/2/(1+N24)))</f>
        <v>#VALUE!</v>
      </c>
      <c r="AJ24" s="85" t="n">
        <f aca="false">IF(Q24&gt;0,((R24*10^12/PI()/A24^2/D24^2-Paramètres!$B$7*E24^2)*4/PI()/Paramètres!$B$8+E24^2)^0.5,"")</f>
        <v>3.3233500172078</v>
      </c>
      <c r="AK24" s="12" t="n">
        <f aca="false">PI()*Paramètres!$B$7*(E24*A24*D24)^2/10^12</f>
        <v>82.627188821882</v>
      </c>
      <c r="AL24" s="12" t="n">
        <f aca="false">AK24*G24</f>
        <v>165.254377643764</v>
      </c>
      <c r="AM24" s="80" t="n">
        <f aca="false">AK24/AT24</f>
        <v>0.0599725558496694</v>
      </c>
      <c r="AN24" s="85" t="n">
        <f aca="false">(-E24+0.1*Paramètres!$B$7/E24/Paramètres!$B$8/PI()*(AW24^2-E24^2)+(E24^2+3.8*Paramètres!$B$7/Paramètres!$B$8/PI()*(AW24^2-E24^2))^0.5)/2</f>
        <v>1.249013039407</v>
      </c>
      <c r="AO24" s="85" t="n">
        <f aca="false">VLOOKUP(C24,Paramètres!$C$30:$F$37,2,1)</f>
        <v>0.5</v>
      </c>
      <c r="AP24" s="85" t="n">
        <f aca="false">VLOOKUP(C24,Paramètres!$C$30:$F$37,4,1)</f>
        <v>0.65</v>
      </c>
      <c r="AQ24" s="11" t="b">
        <f aca="false">AND(I24&gt;=AO24,I24&lt;=AP24)</f>
        <v>1</v>
      </c>
      <c r="AR24" s="12" t="n">
        <f aca="false">HLOOKUP(H24,'Charge de rupture par diamètre'!$D$16:$AC$17,2,0)</f>
        <v>3</v>
      </c>
      <c r="AS24" s="12" t="n">
        <f aca="false">VLOOKUP(E24,'Charge de rupture par diamètre'!$C$16:$AC$53,AR24,1)</f>
        <v>1837</v>
      </c>
      <c r="AT24" s="12" t="n">
        <f aca="false">AS24*Paramètres!$B$9</f>
        <v>1377.75</v>
      </c>
      <c r="AU24" s="79" t="n">
        <f aca="false">PI()*A24^2*D24^2*(Paramètres!$B$7*E24^2+Paramètres!$B$8*PI()/4*(F24^2-E24^2))/10^12</f>
        <v>815.194445314807</v>
      </c>
      <c r="AV24" s="13" t="n">
        <f aca="false">0.183*(-E24+(E24^2+4*Paramètres!$B$7/PI()/Paramètres!$B$8*(AW24^2-E24^2))^0.5)</f>
        <v>0.425173053149027</v>
      </c>
      <c r="AW24" s="85" t="n">
        <f aca="false">(R24/PI()/Paramètres!$B$7)^0.5/A24/D24*10^6</f>
        <v>3.16300112522633</v>
      </c>
      <c r="AX24" s="12" t="e">
        <f aca="false">Q24*VLOOKUP(H24,Paramètres!$B$15:$C$18,2,0)*Paramètres!$B$9</f>
        <v>#N/A</v>
      </c>
      <c r="AY24" s="13" t="e">
        <f aca="false">(AX24/PI()/Paramètres!$B$7)^0.5/A24/D24*10^6</f>
        <v>#N/A</v>
      </c>
      <c r="AZ24" s="12" t="n">
        <f aca="false">(IF(F24&gt;0,(F24*F24 -E24*E24)/Paramètres!$B$7*Paramètres!$B$8,0)+E24*E24)*D24*G24</f>
        <v>27403.2626751592</v>
      </c>
      <c r="BA24" s="80" t="n">
        <f aca="false">-1+AZ24/AZ23</f>
        <v>-0.1192637071271</v>
      </c>
      <c r="BB24" s="80" t="str">
        <f aca="false">IF(F24&gt;0,"",0.234*Paramètres!$B$12*10^9*IF(F24&gt;0,E24,E24)^2/Paramètres!$B$7/A24^2/D24^4*10^6)</f>
        <v/>
      </c>
      <c r="BC24" s="11" t="n">
        <v>2</v>
      </c>
      <c r="BD24" s="80" t="n">
        <f aca="false">BC24*SQRT(1+L24*BC24^2)-BC24</f>
        <v>0.000386214102356508</v>
      </c>
      <c r="BE24" s="11" t="n">
        <f aca="false">IF(F24&gt;0,PI()^2*Paramètres!$B$12*10^9/8/O24*(E24^4+E24^2*F24^2)*10^-12/D24^2/10^-6,"-")</f>
        <v>0.00292369480418408</v>
      </c>
      <c r="BF24" s="11" t="n">
        <f aca="false">IF(ISBLANK(D24),"-",PI()^3*E24^4*Paramètres!$B$12*10^9/64/O24/(D24/1000)^2*10^-12)</f>
        <v>9.6562848172449E-005</v>
      </c>
      <c r="BG24" s="90" t="n">
        <f aca="false">(Paramètres!$B$12*10^9)^0.5/Paramètres!$B$7/2/D24*1000</f>
        <v>25.6744509488381</v>
      </c>
    </row>
    <row r="25" customFormat="false" ht="12.8" hidden="false" customHeight="false" outlineLevel="0" collapsed="false">
      <c r="A25" s="79" t="n">
        <f aca="false">IF(ISBLANK(D25),"-",IF(AND($A$6,$A$4/2&lt;AD25),AG25,AD25))</f>
        <v>55</v>
      </c>
      <c r="B25" s="79" t="str">
        <f aca="false">IF(ISBLANK(D25),"",VLOOKUP(MOD(C25-Paramètres!$B$54,12)+1,Paramètres!$B$40:$C$52,2)&amp;" "&amp;(TRUNC((C25-Paramètres!$B$54+120)/12)-10+1))</f>
        <v>La 0</v>
      </c>
      <c r="C25" s="11" t="n">
        <f aca="false">IF(ISBLANK(D25),"",C24+1)</f>
        <v>13</v>
      </c>
      <c r="D25" s="25" t="n">
        <v>1106</v>
      </c>
      <c r="E25" s="6" t="n">
        <v>1</v>
      </c>
      <c r="F25" s="6" t="n">
        <v>3.15</v>
      </c>
      <c r="G25" s="25" t="n">
        <v>2</v>
      </c>
      <c r="H25" s="25" t="s">
        <v>73</v>
      </c>
      <c r="I25" s="80" t="n">
        <f aca="false">IF(ISBLANK(D25),"",IF(F25&gt;0,AU25/AT25,AM25))</f>
        <v>0.596019421749118</v>
      </c>
      <c r="J25" s="81" t="str">
        <f aca="false">IF(ISBLANK(D25),"",IF(AQ25,"","]"&amp;AO25&amp;" -- "&amp;AP25&amp;"["))</f>
        <v/>
      </c>
      <c r="K25" s="80" t="n">
        <f aca="false">IF(ISBLANK(D25),"",BA25)</f>
        <v>-0.0972116556561223</v>
      </c>
      <c r="L25" s="82" t="n">
        <f aca="false">IF(ISBLANK(D25),"",IF(F25&gt;0,BF25,BF25))</f>
        <v>9.74271342157975E-005</v>
      </c>
      <c r="M25" s="80" t="str">
        <f aca="false">IF(ISBLANK(D25),"",IF(F25&gt;0,"-",N25/(2^(1/12)-1)))</f>
        <v>-</v>
      </c>
      <c r="N25" s="83" t="str">
        <f aca="false">IF(ISBLANK(D25),"",IF(F25&gt;0,"-",1.5*L25))</f>
        <v>-</v>
      </c>
      <c r="O25" s="12" t="n">
        <f aca="false">IF(ISBLANK(D25),"",IF(F25&gt;0,AU25,AK25))</f>
        <v>821.165758314848</v>
      </c>
      <c r="P25" s="12" t="n">
        <f aca="false">IF(ISBLANK(D25),"",IF(F25&gt;0,AU25*G25,AL25))</f>
        <v>1642.3315166297</v>
      </c>
      <c r="Q25" s="84" t="n">
        <v>0.6</v>
      </c>
      <c r="R25" s="12" t="n">
        <f aca="false">IF(ISBLANK(D25),"",AT25*Q25)</f>
        <v>826.65</v>
      </c>
      <c r="S25" s="13" t="n">
        <f aca="false">IF(ISBLANK(D25),"",AJ25)</f>
        <v>3.16062333629217</v>
      </c>
      <c r="T25" s="85" t="n">
        <f aca="false">IF(ISBLANK(F25),"",ROUND(S25*10*G25,0)/10/G25)</f>
        <v>3.15</v>
      </c>
      <c r="U25" s="86" t="n">
        <f aca="false">IF(F25&gt;0,(AJ25-E25)/2,"")</f>
        <v>1.08031166814608</v>
      </c>
      <c r="V25" s="86" t="n">
        <f aca="false">IF(F25&gt;0,AN25,"")</f>
        <v>1.15671885911923</v>
      </c>
      <c r="W25" s="87" t="str">
        <f aca="false">IF(F25&gt;0,IF(U25&lt;Paramètres!$B$5,"!!!",""),"")</f>
        <v/>
      </c>
      <c r="X25" s="88" t="n">
        <f aca="false">IF(U25&lt;&gt;"",IF(U25/3&gt;=Paramètres!$B$5,(S25-E25)/2/3,""),"")</f>
        <v>0.360103889382028</v>
      </c>
      <c r="Y25" s="88" t="n">
        <f aca="false">IF(U25&lt;&gt;"",IF(U25/3&gt;=Paramètres!$B$5,AV25,""),"")</f>
        <v>0.395394070541467</v>
      </c>
      <c r="Z25" s="88" t="n">
        <f aca="false">IF(X25&lt;&gt;"",Y25*2,"")</f>
        <v>0.790788141082933</v>
      </c>
      <c r="AB25" s="1"/>
      <c r="AC25" s="79" t="str">
        <f aca="false">INDEX('Charge de rupture par diamètre'!$C$1:$AC$1,AR25)</f>
        <v>Stephen Paulello France</v>
      </c>
      <c r="AD25" s="13" t="n">
        <f aca="false">IF(ISBLANK(D25),"-",$A$4/16 * 2^((C25-1)/12))</f>
        <v>55</v>
      </c>
      <c r="AE25" s="13" t="n">
        <f aca="false">AF25/(AF$9*SQRT(1+$L25*AF$9^2))</f>
        <v>95.1927785544138</v>
      </c>
      <c r="AF25" s="13" t="n">
        <f aca="false">AG37</f>
        <v>190.422650933685</v>
      </c>
      <c r="AG25" s="13" t="n">
        <f aca="false">$AE25*AG$9*SQRT(1+$G25*AG$9^2)</f>
        <v>164.878728969898</v>
      </c>
      <c r="AH25" s="19" t="n">
        <f aca="false">IF(AND(C25&gt;12,F13="",AD25&gt;$A$4),AH13*2*(1+N13),IF(AD25&gt;=$A$4/2,AD25,AD25))</f>
        <v>55</v>
      </c>
      <c r="AI25" s="19" t="e">
        <f aca="false">IF(AND(C25&gt;12,F13="",AD25&gt;$A$4),AH13*2*(1+N13),IF(AD25&gt;=$A$4/2,AD25,AH37/2/(1+N25)))</f>
        <v>#VALUE!</v>
      </c>
      <c r="AJ25" s="85" t="n">
        <f aca="false">IF(Q25&gt;0,((R25*10^12/PI()/A25^2/D25^2-Paramètres!$B$7*E25^2)*4/PI()/Paramètres!$B$8+E25^2)^0.5,"")</f>
        <v>3.16062333629217</v>
      </c>
      <c r="AK25" s="12" t="n">
        <f aca="false">PI()*Paramètres!$B$7*(E25*A25*D25)^2/10^12</f>
        <v>91.2546833315389</v>
      </c>
      <c r="AL25" s="12" t="n">
        <f aca="false">AK25*G25</f>
        <v>182.509366663078</v>
      </c>
      <c r="AM25" s="80" t="n">
        <f aca="false">AK25/AT25</f>
        <v>0.0662345732763846</v>
      </c>
      <c r="AN25" s="85" t="n">
        <f aca="false">(-E25+0.1*Paramètres!$B$7/E25/Paramètres!$B$8/PI()*(AW25^2-E25^2)+(E25^2+3.8*Paramètres!$B$7/Paramètres!$B$8/PI()*(AW25^2-E25^2))^0.5)/2</f>
        <v>1.15671885911923</v>
      </c>
      <c r="AO25" s="85" t="n">
        <f aca="false">VLOOKUP(C25,Paramètres!$C$30:$F$37,2,1)</f>
        <v>0.5</v>
      </c>
      <c r="AP25" s="85" t="n">
        <f aca="false">VLOOKUP(C25,Paramètres!$C$30:$F$37,4,1)</f>
        <v>0.65</v>
      </c>
      <c r="AQ25" s="11" t="b">
        <f aca="false">AND(I25&gt;=AO25,I25&lt;=AP25)</f>
        <v>1</v>
      </c>
      <c r="AR25" s="12" t="n">
        <f aca="false">HLOOKUP(H25,'Charge de rupture par diamètre'!$D$16:$AC$17,2,0)</f>
        <v>3</v>
      </c>
      <c r="AS25" s="12" t="n">
        <f aca="false">VLOOKUP(E25,'Charge de rupture par diamètre'!$C$16:$AC$53,AR25,1)</f>
        <v>1837</v>
      </c>
      <c r="AT25" s="12" t="n">
        <f aca="false">AS25*Paramètres!$B$9</f>
        <v>1377.75</v>
      </c>
      <c r="AU25" s="79" t="n">
        <f aca="false">PI()*A25^2*D25^2*(Paramètres!$B$7*E25^2+Paramètres!$B$8*PI()/4*(F25^2-E25^2))/10^12</f>
        <v>821.165758314848</v>
      </c>
      <c r="AV25" s="13" t="n">
        <f aca="false">0.183*(-E25+(E25^2+4*Paramètres!$B$7/PI()/Paramètres!$B$8*(AW25^2-E25^2))^0.5)</f>
        <v>0.395394070541467</v>
      </c>
      <c r="AW25" s="85" t="n">
        <f aca="false">(R25/PI()/Paramètres!$B$7)^0.5/A25/D25*10^6</f>
        <v>3.00976961762128</v>
      </c>
      <c r="AX25" s="12" t="e">
        <f aca="false">Q25*VLOOKUP(H25,Paramètres!$B$15:$C$18,2,0)*Paramètres!$B$9</f>
        <v>#N/A</v>
      </c>
      <c r="AY25" s="13" t="e">
        <f aca="false">(AX25/PI()/Paramètres!$B$7)^0.5/A25/D25*10^6</f>
        <v>#N/A</v>
      </c>
      <c r="AZ25" s="12" t="n">
        <f aca="false">(IF(F25&gt;0,(F25*F25 -E25*E25)/Paramètres!$B$7*Paramètres!$B$8,0)+E25*E25)*D25*G25</f>
        <v>24739.3461401274</v>
      </c>
      <c r="BA25" s="80" t="n">
        <f aca="false">-1+AZ25/AZ24</f>
        <v>-0.0972116556561223</v>
      </c>
      <c r="BB25" s="80" t="str">
        <f aca="false">IF(F25&gt;0,"",0.234*Paramètres!$B$12*10^9*IF(F25&gt;0,E25,E25)^2/Paramètres!$B$7/A25^2/D25^4*10^6)</f>
        <v/>
      </c>
      <c r="BC25" s="11" t="n">
        <v>2</v>
      </c>
      <c r="BD25" s="80" t="n">
        <f aca="false">BC25*SQRT(1+L25*BC25^2)-BC25</f>
        <v>0.000389670576073531</v>
      </c>
      <c r="BE25" s="11" t="n">
        <f aca="false">IF(F25&gt;0,PI()^2*Paramètres!$B$12*10^9/8/O25*(E25^4+E25^2*F25^2)*10^-12/D25^2/10^-6,"-")</f>
        <v>0.00270983030790088</v>
      </c>
      <c r="BF25" s="11" t="n">
        <f aca="false">IF(ISBLANK(D25),"-",PI()^3*E25^4*Paramètres!$B$12*10^9/64/O25/(D25/1000)^2*10^-12)</f>
        <v>9.74271342157975E-005</v>
      </c>
      <c r="BG25" s="90" t="n">
        <f aca="false">(Paramètres!$B$12*10^9)^0.5/Paramètres!$B$7/2/D25*1000</f>
        <v>25.8833750524</v>
      </c>
    </row>
    <row r="26" customFormat="false" ht="12.8" hidden="false" customHeight="false" outlineLevel="0" collapsed="false">
      <c r="A26" s="79" t="n">
        <f aca="false">IF(ISBLANK(D26),"-",IF(AND($A$6,$A$4/2&lt;AD26),AG26,AD26))</f>
        <v>58.2704701897612</v>
      </c>
      <c r="B26" s="79" t="str">
        <f aca="false">IF(ISBLANK(D26),"",VLOOKUP(MOD(C26-Paramètres!$B$54,12)+1,Paramètres!$B$40:$C$52,2)&amp;" "&amp;(TRUNC((C26-Paramètres!$B$54+120)/12)-10+1))</f>
        <v>La# 0</v>
      </c>
      <c r="C26" s="11" t="n">
        <f aca="false">IF(ISBLANK(D26),"",C25+1)</f>
        <v>14</v>
      </c>
      <c r="D26" s="25" t="n">
        <v>1096</v>
      </c>
      <c r="E26" s="6" t="n">
        <v>1</v>
      </c>
      <c r="F26" s="6" t="n">
        <v>3</v>
      </c>
      <c r="G26" s="25" t="n">
        <v>2</v>
      </c>
      <c r="H26" s="25" t="s">
        <v>73</v>
      </c>
      <c r="I26" s="80" t="n">
        <f aca="false">IF(ISBLANK(D26),"",IF(F26&gt;0,AU26/AT26,AM26))</f>
        <v>0.596590400183108</v>
      </c>
      <c r="J26" s="81" t="str">
        <f aca="false">IF(ISBLANK(D26),"",IF(AQ26,"","]"&amp;AO26&amp;" -- "&amp;AP26&amp;"["))</f>
        <v/>
      </c>
      <c r="K26" s="80" t="n">
        <f aca="false">IF(ISBLANK(D26),"",BA26)</f>
        <v>-0.10233631022153</v>
      </c>
      <c r="L26" s="82" t="n">
        <f aca="false">IF(ISBLANK(D26),"",IF(F26&gt;0,BF26,BF26))</f>
        <v>9.91181585006634E-005</v>
      </c>
      <c r="M26" s="80" t="str">
        <f aca="false">IF(ISBLANK(D26),"",IF(F26&gt;0,"-",N26/(2^(1/12)-1)))</f>
        <v>-</v>
      </c>
      <c r="N26" s="83" t="str">
        <f aca="false">IF(ISBLANK(D26),"",IF(F26&gt;0,"-",1.5*L26))</f>
        <v>-</v>
      </c>
      <c r="O26" s="12" t="n">
        <f aca="false">IF(ISBLANK(D26),"",IF(F26&gt;0,AU26,AK26))</f>
        <v>821.952423852277</v>
      </c>
      <c r="P26" s="12" t="n">
        <f aca="false">IF(ISBLANK(D26),"",IF(F26&gt;0,AU26*G26,AL26))</f>
        <v>1643.90484770455</v>
      </c>
      <c r="Q26" s="84" t="n">
        <v>0.6</v>
      </c>
      <c r="R26" s="12" t="n">
        <f aca="false">IF(ISBLANK(D26),"",AT26*Q26)</f>
        <v>826.65</v>
      </c>
      <c r="S26" s="13" t="n">
        <f aca="false">IF(ISBLANK(D26),"",AJ26)</f>
        <v>3.00867020854642</v>
      </c>
      <c r="T26" s="85" t="n">
        <f aca="false">IF(ISBLANK(F26),"",ROUND(S26*10*G26,0)/10/G26)</f>
        <v>3</v>
      </c>
      <c r="U26" s="86" t="n">
        <f aca="false">IF(F26&gt;0,(AJ26-E26)/2,"")</f>
        <v>1.00433510427321</v>
      </c>
      <c r="V26" s="86" t="n">
        <f aca="false">IF(F26&gt;0,AN26,"")</f>
        <v>1.07115210657266</v>
      </c>
      <c r="W26" s="87" t="str">
        <f aca="false">IF(F26&gt;0,IF(U26&lt;Paramètres!$B$5,"!!!",""),"")</f>
        <v/>
      </c>
      <c r="X26" s="88" t="n">
        <f aca="false">IF(U26&lt;&gt;"",IF(U26/3&gt;=Paramètres!$B$5,(S26-E26)/2/3,""),"")</f>
        <v>0.334778368091071</v>
      </c>
      <c r="Y26" s="88" t="n">
        <f aca="false">IF(U26&lt;&gt;"",IF(U26/3&gt;=Paramètres!$B$5,AV26,""),"")</f>
        <v>0.367586648163996</v>
      </c>
      <c r="Z26" s="88" t="n">
        <f aca="false">IF(X26&lt;&gt;"",Y26*2,"")</f>
        <v>0.735173296327991</v>
      </c>
      <c r="AB26" s="1"/>
      <c r="AC26" s="79" t="str">
        <f aca="false">INDEX('Charge de rupture par diamètre'!$C$1:$AC$1,AR26)</f>
        <v>Stephen Paulello France</v>
      </c>
      <c r="AD26" s="13" t="n">
        <f aca="false">IF(ISBLANK(D26),"-",$A$4/16 * 2^((C26-1)/12))</f>
        <v>58.2704701897612</v>
      </c>
      <c r="AE26" s="13" t="n">
        <f aca="false">AF26/(AF$9*SQRT(1+$L26*AF$9^2))</f>
        <v>100.854696324349</v>
      </c>
      <c r="AF26" s="13" t="n">
        <f aca="false">AG38</f>
        <v>201.749374813236</v>
      </c>
      <c r="AG26" s="13" t="n">
        <f aca="false">$AE26*AG$9*SQRT(1+$G26*AG$9^2)</f>
        <v>174.685458215703</v>
      </c>
      <c r="AH26" s="19" t="n">
        <f aca="false">IF(AND(C26&gt;12,F14="",AD26&gt;$A$4),AH14*2*(1+N14),IF(AD26&gt;=$A$4/2,AD26,AD26))</f>
        <v>58.2704701897612</v>
      </c>
      <c r="AI26" s="19" t="e">
        <f aca="false">IF(AND(C26&gt;12,F14="",AD26&gt;$A$4),AH14*2*(1+N14),IF(AD26&gt;=$A$4/2,AD26,AH38/2/(1+N26)))</f>
        <v>#VALUE!</v>
      </c>
      <c r="AJ26" s="85" t="n">
        <f aca="false">IF(Q26&gt;0,((R26*10^12/PI()/A26^2/D26^2-Paramètres!$B$7*E26^2)*4/PI()/Paramètres!$B$8+E26^2)^0.5,"")</f>
        <v>3.00867020854642</v>
      </c>
      <c r="AK26" s="12" t="n">
        <f aca="false">PI()*Paramètres!$B$7*(E26*A26*D26)^2/10^12</f>
        <v>100.586033525334</v>
      </c>
      <c r="AL26" s="12" t="n">
        <f aca="false">AK26*G26</f>
        <v>201.172067050668</v>
      </c>
      <c r="AM26" s="80" t="n">
        <f aca="false">AK26/AT26</f>
        <v>0.0730074639995165</v>
      </c>
      <c r="AN26" s="85" t="n">
        <f aca="false">(-E26+0.1*Paramètres!$B$7/E26/Paramètres!$B$8/PI()*(AW26^2-E26^2)+(E26^2+3.8*Paramètres!$B$7/Paramètres!$B$8/PI()*(AW26^2-E26^2))^0.5)/2</f>
        <v>1.07115210657266</v>
      </c>
      <c r="AO26" s="85" t="n">
        <f aca="false">VLOOKUP(C26,Paramètres!$C$30:$F$37,2,1)</f>
        <v>0.5</v>
      </c>
      <c r="AP26" s="85" t="n">
        <f aca="false">VLOOKUP(C26,Paramètres!$C$30:$F$37,4,1)</f>
        <v>0.65</v>
      </c>
      <c r="AQ26" s="11" t="b">
        <f aca="false">AND(I26&gt;=AO26,I26&lt;=AP26)</f>
        <v>1</v>
      </c>
      <c r="AR26" s="12" t="n">
        <f aca="false">HLOOKUP(H26,'Charge de rupture par diamètre'!$D$16:$AC$17,2,0)</f>
        <v>3</v>
      </c>
      <c r="AS26" s="12" t="n">
        <f aca="false">VLOOKUP(E26,'Charge de rupture par diamètre'!$C$16:$AC$53,AR26,1)</f>
        <v>1837</v>
      </c>
      <c r="AT26" s="12" t="n">
        <f aca="false">AS26*Paramètres!$B$9</f>
        <v>1377.75</v>
      </c>
      <c r="AU26" s="79" t="n">
        <f aca="false">PI()*A26^2*D26^2*(Paramètres!$B$7*E26^2+Paramètres!$B$8*PI()/4*(F26^2-E26^2))/10^12</f>
        <v>821.952423852277</v>
      </c>
      <c r="AV26" s="13" t="n">
        <f aca="false">0.183*(-E26+(E26^2+4*Paramètres!$B$7/PI()/Paramètres!$B$8*(AW26^2-E26^2))^0.5)</f>
        <v>0.367586648163996</v>
      </c>
      <c r="AW26" s="85" t="n">
        <f aca="false">(R26/PI()/Paramètres!$B$7)^0.5/A26/D26*10^6</f>
        <v>2.86676434074248</v>
      </c>
      <c r="AX26" s="12" t="e">
        <f aca="false">Q26*VLOOKUP(H26,Paramètres!$B$15:$C$18,2,0)*Paramètres!$B$9</f>
        <v>#N/A</v>
      </c>
      <c r="AY26" s="13" t="e">
        <f aca="false">(AX26/PI()/Paramètres!$B$7)^0.5/A26/D26*10^6</f>
        <v>#N/A</v>
      </c>
      <c r="AZ26" s="12" t="n">
        <f aca="false">(IF(F26&gt;0,(F26*F26 -E26*E26)/Paramètres!$B$7*Paramètres!$B$8,0)+E26*E26)*D26*G26</f>
        <v>22207.6127388535</v>
      </c>
      <c r="BA26" s="80" t="n">
        <f aca="false">-1+AZ26/AZ25</f>
        <v>-0.10233631022153</v>
      </c>
      <c r="BB26" s="80" t="str">
        <f aca="false">IF(F26&gt;0,"",0.234*Paramètres!$B$12*10^9*IF(F26&gt;0,E26,E26)^2/Paramètres!$B$7/A26^2/D26^4*10^6)</f>
        <v/>
      </c>
      <c r="BC26" s="11" t="n">
        <v>2</v>
      </c>
      <c r="BD26" s="80" t="n">
        <f aca="false">BC26*SQRT(1+L26*BC26^2)-BC26</f>
        <v>0.000396433344153735</v>
      </c>
      <c r="BE26" s="11" t="n">
        <f aca="false">IF(F26&gt;0,PI()^2*Paramètres!$B$12*10^9/8/O26*(E26^4+E26^2*F26^2)*10^-12/D26^2/10^-6,"-")</f>
        <v>0.00252402318008745</v>
      </c>
      <c r="BF26" s="11" t="n">
        <f aca="false">IF(ISBLANK(D26),"-",PI()^3*E26^4*Paramètres!$B$12*10^9/64/O26/(D26/1000)^2*10^-12)</f>
        <v>9.91181585006634E-005</v>
      </c>
      <c r="BG26" s="90" t="n">
        <f aca="false">(Paramètres!$B$12*10^9)^0.5/Paramètres!$B$7/2/D26*1000</f>
        <v>26.1195372335351</v>
      </c>
    </row>
    <row r="27" customFormat="false" ht="12.8" hidden="false" customHeight="false" outlineLevel="0" collapsed="false">
      <c r="A27" s="79" t="n">
        <f aca="false">IF(ISBLANK(D27),"-",IF(AND($A$6,$A$4/2&lt;AD27),AG27,AD27))</f>
        <v>61.7354126570155</v>
      </c>
      <c r="B27" s="79" t="str">
        <f aca="false">IF(ISBLANK(D27),"",VLOOKUP(MOD(C27-Paramètres!$B$54,12)+1,Paramètres!$B$40:$C$52,2)&amp;" "&amp;(TRUNC((C27-Paramètres!$B$54+120)/12)-10+1))</f>
        <v>Si 0</v>
      </c>
      <c r="C27" s="11" t="n">
        <f aca="false">IF(ISBLANK(D27),"",C26+1)</f>
        <v>15</v>
      </c>
      <c r="D27" s="25" t="n">
        <v>1085</v>
      </c>
      <c r="E27" s="6" t="n">
        <v>1</v>
      </c>
      <c r="F27" s="6" t="n">
        <v>2.85</v>
      </c>
      <c r="G27" s="25" t="n">
        <v>2</v>
      </c>
      <c r="H27" s="25" t="s">
        <v>73</v>
      </c>
      <c r="I27" s="80" t="n">
        <f aca="false">IF(ISBLANK(D27),"",IF(F27&gt;0,AU27/AT27,AM27))</f>
        <v>0.593099578764954</v>
      </c>
      <c r="J27" s="81" t="str">
        <f aca="false">IF(ISBLANK(D27),"",IF(AQ27,"","]"&amp;AO27&amp;" -- "&amp;AP27&amp;"["))</f>
        <v/>
      </c>
      <c r="K27" s="80" t="n">
        <f aca="false">IF(ISBLANK(D27),"",BA27)</f>
        <v>-0.107905087461831</v>
      </c>
      <c r="L27" s="82" t="n">
        <f aca="false">IF(ISBLANK(D27),"",IF(F27&gt;0,BF27,BF27))</f>
        <v>0.000101733386585173</v>
      </c>
      <c r="M27" s="80" t="str">
        <f aca="false">IF(ISBLANK(D27),"",IF(F27&gt;0,"-",N27/(2^(1/12)-1)))</f>
        <v>-</v>
      </c>
      <c r="N27" s="83" t="str">
        <f aca="false">IF(ISBLANK(D27),"",IF(F27&gt;0,"-",1.5*L27))</f>
        <v>-</v>
      </c>
      <c r="O27" s="12" t="n">
        <f aca="false">IF(ISBLANK(D27),"",IF(F27&gt;0,AU27,AK27))</f>
        <v>817.142944643415</v>
      </c>
      <c r="P27" s="12" t="n">
        <f aca="false">IF(ISBLANK(D27),"",IF(F27&gt;0,AU27*G27,AL27))</f>
        <v>1634.28588928683</v>
      </c>
      <c r="Q27" s="84" t="n">
        <v>0.6</v>
      </c>
      <c r="R27" s="12" t="n">
        <f aca="false">IF(ISBLANK(D27),"",AT27*Q27)</f>
        <v>826.65</v>
      </c>
      <c r="S27" s="13" t="n">
        <f aca="false">IF(ISBLANK(D27),"",AJ27)</f>
        <v>2.86676562254734</v>
      </c>
      <c r="T27" s="85" t="n">
        <f aca="false">IF(ISBLANK(F27),"",ROUND(S27*10*G27,0)/10/G27)</f>
        <v>2.85</v>
      </c>
      <c r="U27" s="86" t="n">
        <f aca="false">IF(F27&gt;0,(AJ27-E27)/2,"")</f>
        <v>0.93338281127367</v>
      </c>
      <c r="V27" s="86" t="n">
        <f aca="false">IF(F27&gt;0,AN27,"")</f>
        <v>0.991784510909601</v>
      </c>
      <c r="W27" s="87" t="str">
        <f aca="false">IF(F27&gt;0,IF(U27&lt;Paramètres!$B$5,"!!!",""),"")</f>
        <v/>
      </c>
      <c r="X27" s="88" t="n">
        <f aca="false">IF(U27&lt;&gt;"",IF(U27/3&gt;=Paramètres!$B$5,(S27-E27)/2/3,""),"")</f>
        <v>0.31112760375789</v>
      </c>
      <c r="Y27" s="88" t="n">
        <f aca="false">IF(U27&lt;&gt;"",IF(U27/3&gt;=Paramètres!$B$5,AV27,""),"")</f>
        <v>0.341618108926163</v>
      </c>
      <c r="Z27" s="88" t="n">
        <f aca="false">IF(X27&lt;&gt;"",Y27*2,"")</f>
        <v>0.683236217852326</v>
      </c>
      <c r="AB27" s="1"/>
      <c r="AC27" s="79" t="str">
        <f aca="false">INDEX('Charge de rupture par diamètre'!$C$1:$AC$1,AR27)</f>
        <v>Stephen Paulello France</v>
      </c>
      <c r="AD27" s="13" t="n">
        <f aca="false">IF(ISBLANK(D27),"-",$A$4/16 * 2^((C27-1)/12))</f>
        <v>61.7354126570155</v>
      </c>
      <c r="AE27" s="13" t="n">
        <f aca="false">AF27/(AF$9*SQRT(1+$L27*AF$9^2))</f>
        <v>106.852751255076</v>
      </c>
      <c r="AF27" s="13" t="n">
        <f aca="false">AG39</f>
        <v>213.748980056489</v>
      </c>
      <c r="AG27" s="13" t="n">
        <f aca="false">$AE27*AG$9*SQRT(1+$G27*AG$9^2)</f>
        <v>185.074394102311</v>
      </c>
      <c r="AH27" s="19" t="n">
        <f aca="false">IF(AND(C27&gt;12,F15="",AD27&gt;$A$4),AH15*2*(1+N15),IF(AD27&gt;=$A$4/2,AD27,AD27))</f>
        <v>61.7354126570155</v>
      </c>
      <c r="AI27" s="19" t="e">
        <f aca="false">IF(AND(C27&gt;12,F15="",AD27&gt;$A$4),AH15*2*(1+N15),IF(AD27&gt;=$A$4/2,AD27,AH39/2/(1+N27)))</f>
        <v>#VALUE!</v>
      </c>
      <c r="AJ27" s="85" t="n">
        <f aca="false">IF(Q27&gt;0,((R27*10^12/PI()/A27^2/D27^2-Paramètres!$B$7*E27^2)*4/PI()/Paramètres!$B$8+E27^2)^0.5,"")</f>
        <v>2.86676562254734</v>
      </c>
      <c r="AK27" s="12" t="n">
        <f aca="false">PI()*Paramètres!$B$7*(E27*A27*D27)^2/10^12</f>
        <v>110.649056912045</v>
      </c>
      <c r="AL27" s="12" t="n">
        <f aca="false">AK27*G27</f>
        <v>221.29811382409</v>
      </c>
      <c r="AM27" s="80" t="n">
        <f aca="false">AK27/AT27</f>
        <v>0.0803114185534713</v>
      </c>
      <c r="AN27" s="85" t="n">
        <f aca="false">(-E27+0.1*Paramètres!$B$7/E27/Paramètres!$B$8/PI()*(AW27^2-E27^2)+(E27^2+3.8*Paramètres!$B$7/Paramètres!$B$8/PI()*(AW27^2-E27^2))^0.5)/2</f>
        <v>0.991784510909601</v>
      </c>
      <c r="AO27" s="85" t="n">
        <f aca="false">VLOOKUP(C27,Paramètres!$C$30:$F$37,2,1)</f>
        <v>0.5</v>
      </c>
      <c r="AP27" s="85" t="n">
        <f aca="false">VLOOKUP(C27,Paramètres!$C$30:$F$37,4,1)</f>
        <v>0.65</v>
      </c>
      <c r="AQ27" s="11" t="b">
        <f aca="false">AND(I27&gt;=AO27,I27&lt;=AP27)</f>
        <v>1</v>
      </c>
      <c r="AR27" s="12" t="n">
        <f aca="false">HLOOKUP(H27,'Charge de rupture par diamètre'!$D$16:$AC$17,2,0)</f>
        <v>3</v>
      </c>
      <c r="AS27" s="12" t="n">
        <f aca="false">VLOOKUP(E27,'Charge de rupture par diamètre'!$C$16:$AC$53,AR27,1)</f>
        <v>1837</v>
      </c>
      <c r="AT27" s="12" t="n">
        <f aca="false">AS27*Paramètres!$B$9</f>
        <v>1377.75</v>
      </c>
      <c r="AU27" s="79" t="n">
        <f aca="false">PI()*A27^2*D27^2*(Paramètres!$B$7*E27^2+Paramètres!$B$8*PI()/4*(F27^2-E27^2))/10^12</f>
        <v>817.142944643415</v>
      </c>
      <c r="AV27" s="13" t="n">
        <f aca="false">0.183*(-E27+(E27^2+4*Paramètres!$B$7/PI()/Paramètres!$B$8*(AW27^2-E27^2))^0.5)</f>
        <v>0.341618108926163</v>
      </c>
      <c r="AW27" s="85" t="n">
        <f aca="false">(R27/PI()/Paramètres!$B$7)^0.5/A27/D27*10^6</f>
        <v>2.73329795670563</v>
      </c>
      <c r="AX27" s="12" t="e">
        <f aca="false">Q27*VLOOKUP(H27,Paramètres!$B$15:$C$18,2,0)*Paramètres!$B$9</f>
        <v>#N/A</v>
      </c>
      <c r="AY27" s="13" t="e">
        <f aca="false">(AX27/PI()/Paramètres!$B$7)^0.5/A27/D27*10^6</f>
        <v>#N/A</v>
      </c>
      <c r="AZ27" s="12" t="n">
        <f aca="false">(IF(F27&gt;0,(F27*F27 -E27*E27)/Paramètres!$B$7*Paramètres!$B$8,0)+E27*E27)*D27*G27</f>
        <v>19811.298343949</v>
      </c>
      <c r="BA27" s="80" t="n">
        <f aca="false">-1+AZ27/AZ26</f>
        <v>-0.107905087461831</v>
      </c>
      <c r="BB27" s="80" t="str">
        <f aca="false">IF(F27&gt;0,"",0.234*Paramètres!$B$12*10^9*IF(F27&gt;0,E27,E27)^2/Paramètres!$B$7/A27^2/D27^4*10^6)</f>
        <v/>
      </c>
      <c r="BC27" s="11" t="n">
        <v>2</v>
      </c>
      <c r="BD27" s="80" t="n">
        <f aca="false">BC27*SQRT(1+L27*BC27^2)-BC27</f>
        <v>0.000406892156033845</v>
      </c>
      <c r="BE27" s="11" t="n">
        <f aca="false">IF(F27&gt;0,PI()^2*Paramètres!$B$12*10^9/8/O27*(E27^4+E27^2*F27^2)*10^-12/D27^2/10^-6,"-")</f>
        <v>0.00236329256261221</v>
      </c>
      <c r="BF27" s="11" t="n">
        <f aca="false">IF(ISBLANK(D27),"-",PI()^3*E27^4*Paramètres!$B$12*10^9/64/O27/(D27/1000)^2*10^-12)</f>
        <v>0.000101733386585173</v>
      </c>
      <c r="BG27" s="90" t="n">
        <f aca="false">(Paramètres!$B$12*10^9)^0.5/Paramètres!$B$7/2/D27*1000</f>
        <v>26.3843436018013</v>
      </c>
    </row>
    <row r="28" customFormat="false" ht="12.8" hidden="false" customHeight="false" outlineLevel="0" collapsed="false">
      <c r="A28" s="79" t="n">
        <f aca="false">IF(ISBLANK(D28),"-",IF(AND($A$6,$A$4/2&lt;AD28),AG28,AD28))</f>
        <v>65.4063913251497</v>
      </c>
      <c r="B28" s="79" t="str">
        <f aca="false">IF(ISBLANK(D28),"",VLOOKUP(MOD(C28-Paramètres!$B$54,12)+1,Paramètres!$B$40:$C$52,2)&amp;" "&amp;(TRUNC((C28-Paramètres!$B$54+120)/12)-10+1))</f>
        <v>Do 1</v>
      </c>
      <c r="C28" s="11" t="n">
        <f aca="false">IF(ISBLANK(D28),"",C27+1)</f>
        <v>16</v>
      </c>
      <c r="D28" s="25" t="n">
        <v>1074</v>
      </c>
      <c r="E28" s="6" t="n">
        <v>1</v>
      </c>
      <c r="F28" s="6" t="n">
        <v>2.75</v>
      </c>
      <c r="G28" s="25" t="n">
        <v>2</v>
      </c>
      <c r="H28" s="25" t="s">
        <v>73</v>
      </c>
      <c r="I28" s="80" t="n">
        <f aca="false">IF(ISBLANK(D28),"",IF(F28&gt;0,AU28/AT28,AM28))</f>
        <v>0.607959584741467</v>
      </c>
      <c r="J28" s="81" t="str">
        <f aca="false">IF(ISBLANK(D28),"",IF(AQ28,"","]"&amp;AO28&amp;" -- "&amp;AP28&amp;"["))</f>
        <v/>
      </c>
      <c r="K28" s="80" t="n">
        <f aca="false">IF(ISBLANK(D28),"",BA28)</f>
        <v>-0.0794405601096492</v>
      </c>
      <c r="L28" s="82" t="n">
        <f aca="false">IF(ISBLANK(D28),"",IF(F28&gt;0,BF28,BF28))</f>
        <v>0.000101290174991442</v>
      </c>
      <c r="M28" s="80" t="str">
        <f aca="false">IF(ISBLANK(D28),"",IF(F28&gt;0,"-",N28/(2^(1/12)-1)))</f>
        <v>-</v>
      </c>
      <c r="N28" s="83" t="str">
        <f aca="false">IF(ISBLANK(D28),"",IF(F28&gt;0,"-",1.5*L28))</f>
        <v>-</v>
      </c>
      <c r="O28" s="12" t="n">
        <f aca="false">IF(ISBLANK(D28),"",IF(F28&gt;0,AU28,AK28))</f>
        <v>837.616317877556</v>
      </c>
      <c r="P28" s="12" t="n">
        <f aca="false">IF(ISBLANK(D28),"",IF(F28&gt;0,AU28*G28,AL28))</f>
        <v>1675.23263575511</v>
      </c>
      <c r="Q28" s="84" t="n">
        <v>0.6</v>
      </c>
      <c r="R28" s="12" t="n">
        <f aca="false">IF(ISBLANK(D28),"",AT28*Q28)</f>
        <v>826.65</v>
      </c>
      <c r="S28" s="13" t="n">
        <f aca="false">IF(ISBLANK(D28),"",AJ28)</f>
        <v>2.73166200400518</v>
      </c>
      <c r="T28" s="85" t="n">
        <f aca="false">IF(ISBLANK(F28),"",ROUND(S28*10*G28,0)/10/G28)</f>
        <v>2.75</v>
      </c>
      <c r="U28" s="86" t="n">
        <f aca="false">IF(F28&gt;0,(AJ28-E28)/2,"")</f>
        <v>0.86583100200259</v>
      </c>
      <c r="V28" s="86" t="n">
        <f aca="false">IF(F28&gt;0,AN28,"")</f>
        <v>0.916708700347874</v>
      </c>
      <c r="W28" s="87" t="str">
        <f aca="false">IF(F28&gt;0,IF(U28&lt;Paramètres!$B$5,"!!!",""),"")</f>
        <v/>
      </c>
      <c r="X28" s="88" t="n">
        <f aca="false">IF(U28&lt;&gt;"",IF(U28/3&gt;=Paramètres!$B$5,(S28-E28)/2/3,""),"")</f>
        <v>0.288610334000863</v>
      </c>
      <c r="Y28" s="88" t="n">
        <f aca="false">IF(U28&lt;&gt;"",IF(U28/3&gt;=Paramètres!$B$5,AV28,""),"")</f>
        <v>0.316894146732948</v>
      </c>
      <c r="Z28" s="88" t="n">
        <f aca="false">IF(X28&lt;&gt;"",Y28*2,"")</f>
        <v>0.633788293465896</v>
      </c>
      <c r="AB28" s="1"/>
      <c r="AC28" s="79" t="str">
        <f aca="false">INDEX('Charge de rupture par diamètre'!$C$1:$AC$1,AR28)</f>
        <v>Stephen Paulello France</v>
      </c>
      <c r="AD28" s="13" t="n">
        <f aca="false">IF(ISBLANK(D28),"-",$A$4/16 * 2^((C28-1)/12))</f>
        <v>65.4063913251497</v>
      </c>
      <c r="AE28" s="13" t="n">
        <f aca="false">AF28/(AF$9*SQRT(1+$L28*AF$9^2))</f>
        <v>113.20716792897</v>
      </c>
      <c r="AF28" s="13" t="n">
        <f aca="false">AG40</f>
        <v>226.460198308395</v>
      </c>
      <c r="AG28" s="13" t="n">
        <f aca="false">$AE28*AG$9*SQRT(1+$G28*AG$9^2)</f>
        <v>196.080566633959</v>
      </c>
      <c r="AH28" s="19" t="n">
        <f aca="false">IF(AND(C28&gt;12,F16="",AD28&gt;$A$4),AH16*2*(1+N16),IF(AD28&gt;=$A$4/2,AD28,AD28))</f>
        <v>65.4063913251497</v>
      </c>
      <c r="AI28" s="19" t="e">
        <f aca="false">IF(AND(C28&gt;12,F16="",AD28&gt;$A$4),AH16*2*(1+N16),IF(AD28&gt;=$A$4/2,AD28,AH40/2/(1+N28)))</f>
        <v>#VALUE!</v>
      </c>
      <c r="AJ28" s="85" t="n">
        <f aca="false">IF(Q28&gt;0,((R28*10^12/PI()/A28^2/D28^2-Paramètres!$B$7*E28^2)*4/PI()/Paramètres!$B$8+E28^2)^0.5,"")</f>
        <v>2.73166200400518</v>
      </c>
      <c r="AK28" s="12" t="n">
        <f aca="false">PI()*Paramètres!$B$7*(E28*A28*D28)^2/10^12</f>
        <v>121.69380460376</v>
      </c>
      <c r="AL28" s="12" t="n">
        <f aca="false">AK28*G28</f>
        <v>243.38760920752</v>
      </c>
      <c r="AM28" s="80" t="n">
        <f aca="false">AK28/AT28</f>
        <v>0.0883279293077555</v>
      </c>
      <c r="AN28" s="85" t="n">
        <f aca="false">(-E28+0.1*Paramètres!$B$7/E28/Paramètres!$B$8/PI()*(AW28^2-E28^2)+(E28^2+3.8*Paramètres!$B$7/Paramètres!$B$8/PI()*(AW28^2-E28^2))^0.5)/2</f>
        <v>0.916708700347874</v>
      </c>
      <c r="AO28" s="85" t="n">
        <f aca="false">VLOOKUP(C28,Paramètres!$C$30:$F$37,2,1)</f>
        <v>0.5</v>
      </c>
      <c r="AP28" s="85" t="n">
        <f aca="false">VLOOKUP(C28,Paramètres!$C$30:$F$37,4,1)</f>
        <v>0.65</v>
      </c>
      <c r="AQ28" s="11" t="b">
        <f aca="false">AND(I28&gt;=AO28,I28&lt;=AP28)</f>
        <v>1</v>
      </c>
      <c r="AR28" s="12" t="n">
        <f aca="false">HLOOKUP(H28,'Charge de rupture par diamètre'!$D$16:$AC$17,2,0)</f>
        <v>3</v>
      </c>
      <c r="AS28" s="12" t="n">
        <f aca="false">VLOOKUP(E28,'Charge de rupture par diamètre'!$C$16:$AC$53,AR28,1)</f>
        <v>1837</v>
      </c>
      <c r="AT28" s="12" t="n">
        <f aca="false">AS28*Paramètres!$B$9</f>
        <v>1377.75</v>
      </c>
      <c r="AU28" s="79" t="n">
        <f aca="false">PI()*A28^2*D28^2*(Paramètres!$B$7*E28^2+Paramètres!$B$8*PI()/4*(F28^2-E28^2))/10^12</f>
        <v>837.616317877556</v>
      </c>
      <c r="AV28" s="13" t="n">
        <f aca="false">0.183*(-E28+(E28^2+4*Paramètres!$B$7/PI()/Paramètres!$B$8*(AW28^2-E28^2))^0.5)</f>
        <v>0.316894146732948</v>
      </c>
      <c r="AW28" s="85" t="n">
        <f aca="false">(R28/PI()/Paramètres!$B$7)^0.5/A28/D28*10^6</f>
        <v>2.60631318185306</v>
      </c>
      <c r="AX28" s="12" t="e">
        <f aca="false">Q28*VLOOKUP(H28,Paramètres!$B$15:$C$18,2,0)*Paramètres!$B$9</f>
        <v>#N/A</v>
      </c>
      <c r="AY28" s="13" t="e">
        <f aca="false">(AX28/PI()/Paramètres!$B$7)^0.5/A28/D28*10^6</f>
        <v>#N/A</v>
      </c>
      <c r="AZ28" s="12" t="n">
        <f aca="false">(IF(F28&gt;0,(F28*F28 -E28*E28)/Paramètres!$B$7*Paramètres!$B$8,0)+E28*E28)*D28*G28</f>
        <v>18237.4777070064</v>
      </c>
      <c r="BA28" s="80" t="n">
        <f aca="false">-1+AZ28/AZ27</f>
        <v>-0.0794405601096492</v>
      </c>
      <c r="BB28" s="80" t="str">
        <f aca="false">IF(F28&gt;0,"",0.234*Paramètres!$B$12*10^9*IF(F28&gt;0,E28,E28)^2/Paramètres!$B$7/A28^2/D28^4*10^6)</f>
        <v/>
      </c>
      <c r="BC28" s="11" t="n">
        <v>2</v>
      </c>
      <c r="BD28" s="80" t="n">
        <f aca="false">BC28*SQRT(1+L28*BC28^2)-BC28</f>
        <v>0.000405119669478982</v>
      </c>
      <c r="BE28" s="11" t="n">
        <f aca="false">IF(F28&gt;0,PI()^2*Paramètres!$B$12*10^9/8/O28*(E28^4+E28^2*F28^2)*10^-12/D28^2/10^-6,"-")</f>
        <v>0.00220855398900476</v>
      </c>
      <c r="BF28" s="11" t="n">
        <f aca="false">IF(ISBLANK(D28),"-",PI()^3*E28^4*Paramètres!$B$12*10^9/64/O28/(D28/1000)^2*10^-12)</f>
        <v>0.000101290174991442</v>
      </c>
      <c r="BG28" s="90" t="n">
        <f aca="false">(Paramètres!$B$12*10^9)^0.5/Paramètres!$B$7/2/D28*1000</f>
        <v>26.6545743090823</v>
      </c>
    </row>
    <row r="29" customFormat="false" ht="12.8" hidden="false" customHeight="false" outlineLevel="0" collapsed="false">
      <c r="A29" s="79" t="n">
        <f aca="false">IF(ISBLANK(D29),"-",IF(AND($A$6,$A$4/2&lt;AD29),AG29,AD29))</f>
        <v>69.295657744218</v>
      </c>
      <c r="B29" s="79" t="str">
        <f aca="false">IF(ISBLANK(D29),"",VLOOKUP(MOD(C29-Paramètres!$B$54,12)+1,Paramètres!$B$40:$C$52,2)&amp;" "&amp;(TRUNC((C29-Paramètres!$B$54+120)/12)-10+1))</f>
        <v>Do# 1</v>
      </c>
      <c r="C29" s="11" t="n">
        <f aca="false">IF(ISBLANK(D29),"",C28+1)</f>
        <v>17</v>
      </c>
      <c r="D29" s="25" t="n">
        <v>1062</v>
      </c>
      <c r="E29" s="6" t="n">
        <v>1</v>
      </c>
      <c r="F29" s="6" t="n">
        <v>2.6</v>
      </c>
      <c r="G29" s="25" t="n">
        <v>2</v>
      </c>
      <c r="H29" s="25" t="s">
        <v>73</v>
      </c>
      <c r="I29" s="80" t="n">
        <f aca="false">IF(ISBLANK(D29),"",IF(F29&gt;0,AU29/AT29,AM29))</f>
        <v>0.597507088902831</v>
      </c>
      <c r="J29" s="81" t="str">
        <f aca="false">IF(ISBLANK(D29),"",IF(AQ29,"","]"&amp;AO29&amp;" -- "&amp;AP29&amp;"["))</f>
        <v/>
      </c>
      <c r="K29" s="80" t="n">
        <f aca="false">IF(ISBLANK(D29),"",BA29)</f>
        <v>-0.11785075877908</v>
      </c>
      <c r="L29" s="82" t="n">
        <f aca="false">IF(ISBLANK(D29),"",IF(F29&gt;0,BF29,BF29))</f>
        <v>0.000105404341203005</v>
      </c>
      <c r="M29" s="80" t="str">
        <f aca="false">IF(ISBLANK(D29),"",IF(F29&gt;0,"-",N29/(2^(1/12)-1)))</f>
        <v>-</v>
      </c>
      <c r="N29" s="83" t="str">
        <f aca="false">IF(ISBLANK(D29),"",IF(F29&gt;0,"-",1.5*L29))</f>
        <v>-</v>
      </c>
      <c r="O29" s="12" t="n">
        <f aca="false">IF(ISBLANK(D29),"",IF(F29&gt;0,AU29,AK29))</f>
        <v>823.215391735875</v>
      </c>
      <c r="P29" s="12" t="n">
        <f aca="false">IF(ISBLANK(D29),"",IF(F29&gt;0,AU29*G29,AL29))</f>
        <v>1646.43078347175</v>
      </c>
      <c r="Q29" s="84" t="n">
        <v>0.6</v>
      </c>
      <c r="R29" s="12" t="n">
        <f aca="false">IF(ISBLANK(D29),"",AT29*Q29)</f>
        <v>826.65</v>
      </c>
      <c r="S29" s="13" t="n">
        <f aca="false">IF(ISBLANK(D29),"",AJ29)</f>
        <v>2.60551067792186</v>
      </c>
      <c r="T29" s="85" t="n">
        <f aca="false">IF(ISBLANK(F29),"",ROUND(S29*10*G29,0)/10/G29)</f>
        <v>2.6</v>
      </c>
      <c r="U29" s="86" t="n">
        <f aca="false">IF(F29&gt;0,(AJ29-E29)/2,"")</f>
        <v>0.80275533896093</v>
      </c>
      <c r="V29" s="86" t="n">
        <f aca="false">IF(F29&gt;0,AN29,"")</f>
        <v>0.847040063103746</v>
      </c>
      <c r="W29" s="87" t="str">
        <f aca="false">IF(F29&gt;0,IF(U29&lt;Paramètres!$B$5,"!!!",""),"")</f>
        <v/>
      </c>
      <c r="X29" s="88" t="n">
        <f aca="false">IF(U29&lt;&gt;"",IF(U29/3&gt;=Paramètres!$B$5,(S29-E29)/2/3,""),"")</f>
        <v>0.267585112986977</v>
      </c>
      <c r="Y29" s="88" t="n">
        <f aca="false">IF(U29&lt;&gt;"",IF(U29/3&gt;=Paramètres!$B$5,AV29,""),"")</f>
        <v>0.2938084540597</v>
      </c>
      <c r="Z29" s="88" t="n">
        <f aca="false">IF(X29&lt;&gt;"",Y29*2,"")</f>
        <v>0.587616908119401</v>
      </c>
      <c r="AB29" s="1"/>
      <c r="AC29" s="79" t="str">
        <f aca="false">INDEX('Charge de rupture par diamètre'!$C$1:$AC$1,AR29)</f>
        <v>Stephen Paulello France</v>
      </c>
      <c r="AD29" s="13" t="n">
        <f aca="false">IF(ISBLANK(D29),"-",$A$4/16 * 2^((C29-1)/12))</f>
        <v>69.295657744218</v>
      </c>
      <c r="AE29" s="13" t="n">
        <f aca="false">AF29/(AF$9*SQRT(1+$L29*AF$9^2))</f>
        <v>138.464271928067</v>
      </c>
      <c r="AF29" s="13" t="n">
        <f aca="false">AG41</f>
        <v>276.986916645487</v>
      </c>
      <c r="AG29" s="13" t="n">
        <f aca="false">$AE29*AG$9*SQRT(1+$G29*AG$9^2)</f>
        <v>239.827154012444</v>
      </c>
      <c r="AH29" s="19" t="n">
        <f aca="false">IF(AND(C29&gt;12,F17="",AD29&gt;$A$4),AH17*2*(1+N17),IF(AD29&gt;=$A$4/2,AD29,AD29))</f>
        <v>69.295657744218</v>
      </c>
      <c r="AI29" s="19" t="e">
        <f aca="false">IF(AND(C29&gt;12,F17="",AD29&gt;$A$4),AH17*2*(1+N17),IF(AD29&gt;=$A$4/2,AD29,AH41/2/(1+N29)))</f>
        <v>#VALUE!</v>
      </c>
      <c r="AJ29" s="85" t="n">
        <f aca="false">IF(Q29&gt;0,((R29*10^12/PI()/A29^2/D29^2-Paramètres!$B$7*E29^2)*4/PI()/Paramètres!$B$8+E29^2)^0.5,"")</f>
        <v>2.60551067792186</v>
      </c>
      <c r="AK29" s="12" t="n">
        <f aca="false">PI()*Paramètres!$B$7*(E29*A29*D29)^2/10^12</f>
        <v>133.561290204361</v>
      </c>
      <c r="AL29" s="12" t="n">
        <f aca="false">AK29*G29</f>
        <v>267.122580408722</v>
      </c>
      <c r="AM29" s="80" t="n">
        <f aca="false">AK29/AT29</f>
        <v>0.096941600583822</v>
      </c>
      <c r="AN29" s="85" t="n">
        <f aca="false">(-E29+0.1*Paramètres!$B$7/E29/Paramètres!$B$8/PI()*(AW29^2-E29^2)+(E29^2+3.8*Paramètres!$B$7/Paramètres!$B$8/PI()*(AW29^2-E29^2))^0.5)/2</f>
        <v>0.847040063103746</v>
      </c>
      <c r="AO29" s="85" t="n">
        <f aca="false">VLOOKUP(C29,Paramètres!$C$30:$F$37,2,1)</f>
        <v>0.5</v>
      </c>
      <c r="AP29" s="85" t="n">
        <f aca="false">VLOOKUP(C29,Paramètres!$C$30:$F$37,4,1)</f>
        <v>0.65</v>
      </c>
      <c r="AQ29" s="11" t="b">
        <f aca="false">AND(I29&gt;=AO29,I29&lt;=AP29)</f>
        <v>1</v>
      </c>
      <c r="AR29" s="12" t="n">
        <f aca="false">HLOOKUP(H29,'Charge de rupture par diamètre'!$D$16:$AC$17,2,0)</f>
        <v>3</v>
      </c>
      <c r="AS29" s="12" t="n">
        <f aca="false">VLOOKUP(E29,'Charge de rupture par diamètre'!$C$16:$AC$53,AR29,1)</f>
        <v>1837</v>
      </c>
      <c r="AT29" s="12" t="n">
        <f aca="false">AS29*Paramètres!$B$9</f>
        <v>1377.75</v>
      </c>
      <c r="AU29" s="79" t="n">
        <f aca="false">PI()*A29^2*D29^2*(Paramètres!$B$7*E29^2+Paramètres!$B$8*PI()/4*(F29^2-E29^2))/10^12</f>
        <v>823.215391735875</v>
      </c>
      <c r="AV29" s="13" t="n">
        <f aca="false">0.183*(-E29+(E29^2+4*Paramètres!$B$7/PI()/Paramètres!$B$8*(AW29^2-E29^2))^0.5)</f>
        <v>0.2938084540597</v>
      </c>
      <c r="AW29" s="85" t="n">
        <f aca="false">(R29/PI()/Paramètres!$B$7)^0.5/A29/D29*10^6</f>
        <v>2.48782903561982</v>
      </c>
      <c r="AX29" s="12" t="e">
        <f aca="false">Q29*VLOOKUP(H29,Paramètres!$B$15:$C$18,2,0)*Paramètres!$B$9</f>
        <v>#N/A</v>
      </c>
      <c r="AY29" s="13" t="e">
        <f aca="false">(AX29/PI()/Paramètres!$B$7)^0.5/A29/D29*10^6</f>
        <v>#N/A</v>
      </c>
      <c r="AZ29" s="12" t="n">
        <f aca="false">(IF(F29&gt;0,(F29*F29 -E29*E29)/Paramètres!$B$7*Paramètres!$B$8,0)+E29*E29)*D29*G29</f>
        <v>16088.1771210191</v>
      </c>
      <c r="BA29" s="80" t="n">
        <f aca="false">-1+AZ29/AZ28</f>
        <v>-0.11785075877908</v>
      </c>
      <c r="BB29" s="80" t="str">
        <f aca="false">IF(F29&gt;0,"",0.234*Paramètres!$B$12*10^9*IF(F29&gt;0,E29,E29)^2/Paramètres!$B$7/A29^2/D29^4*10^6)</f>
        <v/>
      </c>
      <c r="BC29" s="11" t="n">
        <v>2</v>
      </c>
      <c r="BD29" s="80" t="n">
        <f aca="false">BC29*SQRT(1+L29*BC29^2)-BC29</f>
        <v>0.000421572933877457</v>
      </c>
      <c r="BE29" s="11" t="n">
        <f aca="false">IF(F29&gt;0,PI()^2*Paramètres!$B$12*10^9/8/O29*(E29^4+E29^2*F29^2)*10^-12/D29^2/10^-6,"-")</f>
        <v>0.0020828612183077</v>
      </c>
      <c r="BF29" s="11" t="n">
        <f aca="false">IF(ISBLANK(D29),"-",PI()^3*E29^4*Paramètres!$B$12*10^9/64/O29/(D29/1000)^2*10^-12)</f>
        <v>0.000105404341203005</v>
      </c>
      <c r="BG29" s="90" t="n">
        <f aca="false">(Paramètres!$B$12*10^9)^0.5/Paramètres!$B$7/2/D29*1000</f>
        <v>26.9557559396934</v>
      </c>
    </row>
    <row r="30" customFormat="false" ht="12.8" hidden="false" customHeight="false" outlineLevel="0" collapsed="false">
      <c r="A30" s="79" t="n">
        <f aca="false">IF(ISBLANK(D30),"-",IF(AND($A$6,$A$4/2&lt;AD30),AG30,AD30))</f>
        <v>73.4161919793519</v>
      </c>
      <c r="B30" s="79" t="str">
        <f aca="false">IF(ISBLANK(D30),"",VLOOKUP(MOD(C30-Paramètres!$B$54,12)+1,Paramètres!$B$40:$C$52,2)&amp;" "&amp;(TRUNC((C30-Paramètres!$B$54+120)/12)-10+1))</f>
        <v>Ré 1</v>
      </c>
      <c r="C30" s="11" t="n">
        <f aca="false">IF(ISBLANK(D30),"",C29+1)</f>
        <v>18</v>
      </c>
      <c r="D30" s="25" t="n">
        <v>1048</v>
      </c>
      <c r="E30" s="6" t="n">
        <v>1</v>
      </c>
      <c r="F30" s="6" t="n">
        <v>2.5</v>
      </c>
      <c r="G30" s="25" t="n">
        <v>2</v>
      </c>
      <c r="H30" s="25" t="s">
        <v>73</v>
      </c>
      <c r="I30" s="80" t="n">
        <f aca="false">IF(ISBLANK(D30),"",IF(F30&gt;0,AU30/AT30,AM30))</f>
        <v>0.604667357905373</v>
      </c>
      <c r="J30" s="81" t="str">
        <f aca="false">IF(ISBLANK(D30),"",IF(AQ30,"","]"&amp;AO30&amp;" -- "&amp;AP30&amp;"["))</f>
        <v/>
      </c>
      <c r="K30" s="80" t="n">
        <f aca="false">IF(ISBLANK(D30),"",BA30)</f>
        <v>-0.0890217389087268</v>
      </c>
      <c r="L30" s="82" t="n">
        <f aca="false">IF(ISBLANK(D30),"",IF(F30&gt;0,BF30,BF30))</f>
        <v>0.000106957564229772</v>
      </c>
      <c r="M30" s="80" t="str">
        <f aca="false">IF(ISBLANK(D30),"",IF(F30&gt;0,"-",N30/(2^(1/12)-1)))</f>
        <v>-</v>
      </c>
      <c r="N30" s="83" t="str">
        <f aca="false">IF(ISBLANK(D30),"",IF(F30&gt;0,"-",1.5*L30))</f>
        <v>-</v>
      </c>
      <c r="O30" s="12" t="n">
        <f aca="false">IF(ISBLANK(D30),"",IF(F30&gt;0,AU30,AK30))</f>
        <v>833.080452354128</v>
      </c>
      <c r="P30" s="12" t="n">
        <f aca="false">IF(ISBLANK(D30),"",IF(F30&gt;0,AU30*G30,AL30))</f>
        <v>1666.16090470826</v>
      </c>
      <c r="Q30" s="84" t="n">
        <v>0.6</v>
      </c>
      <c r="R30" s="12" t="n">
        <f aca="false">IF(ISBLANK(D30),"",AT30*Q30)</f>
        <v>826.65</v>
      </c>
      <c r="S30" s="13" t="n">
        <f aca="false">IF(ISBLANK(D30),"",AJ30)</f>
        <v>2.49015368862458</v>
      </c>
      <c r="T30" s="85" t="n">
        <f aca="false">IF(ISBLANK(F30),"",ROUND(S30*10*G30,0)/10/G30)</f>
        <v>2.5</v>
      </c>
      <c r="U30" s="86" t="n">
        <f aca="false">IF(F30&gt;0,(AJ30-E30)/2,"")</f>
        <v>0.745076844312292</v>
      </c>
      <c r="V30" s="86" t="n">
        <f aca="false">IF(F30&gt;0,AN30,"")</f>
        <v>0.78370090551104</v>
      </c>
      <c r="W30" s="87" t="str">
        <f aca="false">IF(F30&gt;0,IF(U30&lt;Paramètres!$B$5,"!!!",""),"")</f>
        <v/>
      </c>
      <c r="X30" s="88" t="n">
        <f aca="false">IF(U30&lt;&gt;"",IF(U30/3&gt;=Paramètres!$B$5,(S30-E30)/2/3,""),"")</f>
        <v>0.248358948104097</v>
      </c>
      <c r="Y30" s="88" t="n">
        <f aca="false">IF(U30&lt;&gt;"",IF(U30/3&gt;=Paramètres!$B$5,AV30,""),"")</f>
        <v>0.272698125018299</v>
      </c>
      <c r="Z30" s="88" t="n">
        <f aca="false">IF(X30&lt;&gt;"",Y30*2,"")</f>
        <v>0.545396250036598</v>
      </c>
      <c r="AB30" s="1"/>
      <c r="AC30" s="79" t="str">
        <f aca="false">INDEX('Charge de rupture par diamètre'!$C$1:$AC$1,AR30)</f>
        <v>Stephen Paulello France</v>
      </c>
      <c r="AD30" s="13" t="n">
        <f aca="false">IF(ISBLANK(D30),"-",$A$4/16 * 2^((C30-1)/12))</f>
        <v>73.4161919793519</v>
      </c>
      <c r="AE30" s="13" t="n">
        <f aca="false">AF30/(AF$9*SQRT(1+$L30*AF$9^2))</f>
        <v>146.703344006448</v>
      </c>
      <c r="AF30" s="13" t="n">
        <f aca="false">AG42</f>
        <v>293.469445430591</v>
      </c>
      <c r="AG30" s="13" t="n">
        <f aca="false">$AE30*AG$9*SQRT(1+$G30*AG$9^2)</f>
        <v>254.097645459424</v>
      </c>
      <c r="AH30" s="19" t="n">
        <f aca="false">IF(AND(C30&gt;12,F18="",AD30&gt;$A$4),AH18*2*(1+N18),IF(AD30&gt;=$A$4/2,AD30,AD30))</f>
        <v>73.4161919793519</v>
      </c>
      <c r="AI30" s="19" t="e">
        <f aca="false">IF(AND(C30&gt;12,F18="",AD30&gt;$A$4),AH18*2*(1+N18),IF(AD30&gt;=$A$4/2,AD30,AH42/2/(1+N30)))</f>
        <v>#VALUE!</v>
      </c>
      <c r="AJ30" s="85" t="n">
        <f aca="false">IF(Q30&gt;0,((R30*10^12/PI()/A30^2/D30^2-Paramètres!$B$7*E30^2)*4/PI()/Paramètres!$B$8+E30^2)^0.5,"")</f>
        <v>2.49015368862458</v>
      </c>
      <c r="AK30" s="12" t="n">
        <f aca="false">PI()*Paramètres!$B$7*(E30*A30*D30)^2/10^12</f>
        <v>145.990905896886</v>
      </c>
      <c r="AL30" s="12" t="n">
        <f aca="false">AK30*G30</f>
        <v>291.981811793773</v>
      </c>
      <c r="AM30" s="80" t="n">
        <f aca="false">AK30/AT30</f>
        <v>0.105963277733178</v>
      </c>
      <c r="AN30" s="85" t="n">
        <f aca="false">(-E30+0.1*Paramètres!$B$7/E30/Paramètres!$B$8/PI()*(AW30^2-E30^2)+(E30^2+3.8*Paramètres!$B$7/Paramètres!$B$8/PI()*(AW30^2-E30^2))^0.5)/2</f>
        <v>0.78370090551104</v>
      </c>
      <c r="AO30" s="85" t="n">
        <f aca="false">VLOOKUP(C30,Paramètres!$C$30:$F$37,2,1)</f>
        <v>0.5</v>
      </c>
      <c r="AP30" s="85" t="n">
        <f aca="false">VLOOKUP(C30,Paramètres!$C$30:$F$37,4,1)</f>
        <v>0.65</v>
      </c>
      <c r="AQ30" s="11" t="b">
        <f aca="false">AND(I30&gt;=AO30,I30&lt;=AP30)</f>
        <v>1</v>
      </c>
      <c r="AR30" s="12" t="n">
        <f aca="false">HLOOKUP(H30,'Charge de rupture par diamètre'!$D$16:$AC$17,2,0)</f>
        <v>3</v>
      </c>
      <c r="AS30" s="12" t="n">
        <f aca="false">VLOOKUP(E30,'Charge de rupture par diamètre'!$C$16:$AC$53,AR30,1)</f>
        <v>1837</v>
      </c>
      <c r="AT30" s="12" t="n">
        <f aca="false">AS30*Paramètres!$B$9</f>
        <v>1377.75</v>
      </c>
      <c r="AU30" s="79" t="n">
        <f aca="false">PI()*A30^2*D30^2*(Paramètres!$B$7*E30^2+Paramètres!$B$8*PI()/4*(F30^2-E30^2))/10^12</f>
        <v>833.080452354128</v>
      </c>
      <c r="AV30" s="13" t="n">
        <f aca="false">0.183*(-E30+(E30^2+4*Paramètres!$B$7/PI()/Paramètres!$B$8*(AW30^2-E30^2))^0.5)</f>
        <v>0.272698125018299</v>
      </c>
      <c r="AW30" s="85" t="n">
        <f aca="false">(R30/PI()/Paramètres!$B$7)^0.5/A30/D30*10^6</f>
        <v>2.37956697726266</v>
      </c>
      <c r="AX30" s="12" t="e">
        <f aca="false">Q30*VLOOKUP(H30,Paramètres!$B$15:$C$18,2,0)*Paramètres!$B$9</f>
        <v>#N/A</v>
      </c>
      <c r="AY30" s="13" t="e">
        <f aca="false">(AX30/PI()/Paramètres!$B$7)^0.5/A30/D30*10^6</f>
        <v>#N/A</v>
      </c>
      <c r="AZ30" s="12" t="n">
        <f aca="false">(IF(F30&gt;0,(F30*F30 -E30*E30)/Paramètres!$B$7*Paramètres!$B$8,0)+E30*E30)*D30*G30</f>
        <v>14655.9796178344</v>
      </c>
      <c r="BA30" s="80" t="n">
        <f aca="false">-1+AZ30/AZ29</f>
        <v>-0.0890217389087268</v>
      </c>
      <c r="BB30" s="80" t="str">
        <f aca="false">IF(F30&gt;0,"",0.234*Paramètres!$B$12*10^9*IF(F30&gt;0,E30,E30)^2/Paramètres!$B$7/A30^2/D30^4*10^6)</f>
        <v/>
      </c>
      <c r="BC30" s="11" t="n">
        <v>2</v>
      </c>
      <c r="BD30" s="80" t="n">
        <f aca="false">BC30*SQRT(1+L30*BC30^2)-BC30</f>
        <v>0.000427784507023077</v>
      </c>
      <c r="BE30" s="11" t="n">
        <f aca="false">IF(F30&gt;0,PI()^2*Paramètres!$B$12*10^9/8/O30*(E30^4+E30^2*F30^2)*10^-12/D30^2/10^-6,"-")</f>
        <v>0.0019746477055955</v>
      </c>
      <c r="BF30" s="11" t="n">
        <f aca="false">IF(ISBLANK(D30),"-",PI()^3*E30^4*Paramètres!$B$12*10^9/64/O30/(D30/1000)^2*10^-12)</f>
        <v>0.000106957564229772</v>
      </c>
      <c r="BG30" s="90" t="n">
        <f aca="false">(Paramètres!$B$12*10^9)^0.5/Paramètres!$B$7/2/D30*1000</f>
        <v>27.3158519159871</v>
      </c>
    </row>
    <row r="31" customFormat="false" ht="12.8" hidden="false" customHeight="false" outlineLevel="0" collapsed="false">
      <c r="A31" s="79" t="n">
        <f aca="false">IF(ISBLANK(D31),"-",IF(AND($A$6,$A$4/2&lt;AD31),AG31,AD31))</f>
        <v>77.7817459305202</v>
      </c>
      <c r="B31" s="79" t="str">
        <f aca="false">IF(ISBLANK(D31),"",VLOOKUP(MOD(C31-Paramètres!$B$54,12)+1,Paramètres!$B$40:$C$52,2)&amp;" "&amp;(TRUNC((C31-Paramètres!$B$54+120)/12)-10+1))</f>
        <v>Ré# 1</v>
      </c>
      <c r="C31" s="11" t="n">
        <f aca="false">IF(ISBLANK(D31),"",C30+1)</f>
        <v>19</v>
      </c>
      <c r="D31" s="25" t="n">
        <v>1036</v>
      </c>
      <c r="E31" s="6" t="n">
        <v>1</v>
      </c>
      <c r="F31" s="6" t="n">
        <v>2.4</v>
      </c>
      <c r="G31" s="25" t="n">
        <v>2</v>
      </c>
      <c r="H31" s="25" t="s">
        <v>73</v>
      </c>
      <c r="I31" s="80" t="n">
        <f aca="false">IF(ISBLANK(D31),"",IF(F31&gt;0,AU31/AT31,AM31))</f>
        <v>0.612205851217876</v>
      </c>
      <c r="J31" s="81" t="str">
        <f aca="false">IF(ISBLANK(D31),"",IF(AQ31,"","]"&amp;AO31&amp;" -- "&amp;AP31&amp;"["))</f>
        <v/>
      </c>
      <c r="K31" s="80" t="n">
        <f aca="false">IF(ISBLANK(D31),"",BA31)</f>
        <v>-0.0905199434260611</v>
      </c>
      <c r="L31" s="82" t="n">
        <f aca="false">IF(ISBLANK(D31),"",IF(F31&gt;0,BF31,BF31))</f>
        <v>0.000108101969634015</v>
      </c>
      <c r="M31" s="80" t="str">
        <f aca="false">IF(ISBLANK(D31),"",IF(F31&gt;0,"-",N31/(2^(1/12)-1)))</f>
        <v>-</v>
      </c>
      <c r="N31" s="83" t="str">
        <f aca="false">IF(ISBLANK(D31),"",IF(F31&gt;0,"-",1.5*L31))</f>
        <v>-</v>
      </c>
      <c r="O31" s="12" t="n">
        <f aca="false">IF(ISBLANK(D31),"",IF(F31&gt;0,AU31,AK31))</f>
        <v>843.466611515428</v>
      </c>
      <c r="P31" s="12" t="n">
        <f aca="false">IF(ISBLANK(D31),"",IF(F31&gt;0,AU31*G31,AL31))</f>
        <v>1686.93322303086</v>
      </c>
      <c r="Q31" s="84" t="n">
        <v>0.6</v>
      </c>
      <c r="R31" s="12" t="n">
        <f aca="false">IF(ISBLANK(D31),"",AT31*Q31)</f>
        <v>826.65</v>
      </c>
      <c r="S31" s="13" t="n">
        <f aca="false">IF(ISBLANK(D31),"",AJ31)</f>
        <v>2.37546987662795</v>
      </c>
      <c r="T31" s="85" t="n">
        <f aca="false">IF(ISBLANK(F31),"",ROUND(S31*10*G31,0)/10/G31)</f>
        <v>2.4</v>
      </c>
      <c r="U31" s="86" t="n">
        <f aca="false">IF(F31&gt;0,(AJ31-E31)/2,"")</f>
        <v>0.687734938313974</v>
      </c>
      <c r="V31" s="86" t="n">
        <f aca="false">IF(F31&gt;0,AN31,"")</f>
        <v>0.721082819639525</v>
      </c>
      <c r="W31" s="87" t="str">
        <f aca="false">IF(F31&gt;0,IF(U31&lt;Paramètres!$B$5,"!!!",""),"")</f>
        <v/>
      </c>
      <c r="X31" s="88" t="n">
        <f aca="false">IF(U31&lt;&gt;"",IF(U31/3&gt;=Paramètres!$B$5,(S31-E31)/2/3,""),"")</f>
        <v>0.229244979437991</v>
      </c>
      <c r="Y31" s="88" t="n">
        <f aca="false">IF(U31&lt;&gt;"",IF(U31/3&gt;=Paramètres!$B$5,AV31,""),"")</f>
        <v>0.251710987422915</v>
      </c>
      <c r="Z31" s="88" t="n">
        <f aca="false">IF(X31&lt;&gt;"",Y31*2,"")</f>
        <v>0.503421974845829</v>
      </c>
      <c r="AB31" s="1"/>
      <c r="AC31" s="79" t="str">
        <f aca="false">INDEX('Charge de rupture par diamètre'!$C$1:$AC$1,AR31)</f>
        <v>Stephen Paulello France</v>
      </c>
      <c r="AD31" s="13" t="n">
        <f aca="false">IF(ISBLANK(D31),"-",$A$4/16 * 2^((C31-1)/12))</f>
        <v>77.7817459305202</v>
      </c>
      <c r="AE31" s="13" t="n">
        <f aca="false">AF31/(AF$9*SQRT(1+$L31*AF$9^2))</f>
        <v>155.438465954429</v>
      </c>
      <c r="AF31" s="13" t="n">
        <f aca="false">AG43</f>
        <v>310.944137461897</v>
      </c>
      <c r="AG31" s="13" t="n">
        <f aca="false">$AE31*AG$9*SQRT(1+$G31*AG$9^2)</f>
        <v>269.227320483637</v>
      </c>
      <c r="AH31" s="19" t="n">
        <f aca="false">IF(AND(C31&gt;12,F19="",AD31&gt;$A$4),AH19*2*(1+N19),IF(AD31&gt;=$A$4/2,AD31,AD31))</f>
        <v>77.7817459305202</v>
      </c>
      <c r="AI31" s="19" t="e">
        <f aca="false">IF(AND(C31&gt;12,F19="",AD31&gt;$A$4),AH19*2*(1+N19),IF(AD31&gt;=$A$4/2,AD31,AH43/2/(1+N31)))</f>
        <v>#VALUE!</v>
      </c>
      <c r="AJ31" s="85" t="n">
        <f aca="false">IF(Q31&gt;0,((R31*10^12/PI()/A31^2/D31^2-Paramètres!$B$7*E31^2)*4/PI()/Paramètres!$B$8+E31^2)^0.5,"")</f>
        <v>2.37546987662795</v>
      </c>
      <c r="AK31" s="12" t="n">
        <f aca="false">PI()*Paramètres!$B$7*(E31*A31*D31)^2/10^12</f>
        <v>160.138005423332</v>
      </c>
      <c r="AL31" s="12" t="n">
        <f aca="false">AK31*G31</f>
        <v>320.276010846664</v>
      </c>
      <c r="AM31" s="80" t="n">
        <f aca="false">AK31/AT31</f>
        <v>0.116231540862516</v>
      </c>
      <c r="AN31" s="85" t="n">
        <f aca="false">(-E31+0.1*Paramètres!$B$7/E31/Paramètres!$B$8/PI()*(AW31^2-E31^2)+(E31^2+3.8*Paramètres!$B$7/Paramètres!$B$8/PI()*(AW31^2-E31^2))^0.5)/2</f>
        <v>0.721082819639525</v>
      </c>
      <c r="AO31" s="85" t="n">
        <f aca="false">VLOOKUP(C31,Paramètres!$C$30:$F$37,2,1)</f>
        <v>0.5</v>
      </c>
      <c r="AP31" s="85" t="n">
        <f aca="false">VLOOKUP(C31,Paramètres!$C$30:$F$37,4,1)</f>
        <v>0.65</v>
      </c>
      <c r="AQ31" s="11" t="b">
        <f aca="false">AND(I31&gt;=AO31,I31&lt;=AP31)</f>
        <v>1</v>
      </c>
      <c r="AR31" s="12" t="n">
        <f aca="false">HLOOKUP(H31,'Charge de rupture par diamètre'!$D$16:$AC$17,2,0)</f>
        <v>3</v>
      </c>
      <c r="AS31" s="12" t="n">
        <f aca="false">VLOOKUP(E31,'Charge de rupture par diamètre'!$C$16:$AC$53,AR31,1)</f>
        <v>1837</v>
      </c>
      <c r="AT31" s="12" t="n">
        <f aca="false">AS31*Paramètres!$B$9</f>
        <v>1377.75</v>
      </c>
      <c r="AU31" s="79" t="n">
        <f aca="false">PI()*A31^2*D31^2*(Paramètres!$B$7*E31^2+Paramètres!$B$8*PI()/4*(F31^2-E31^2))/10^12</f>
        <v>843.466611515428</v>
      </c>
      <c r="AV31" s="13" t="n">
        <f aca="false">0.183*(-E31+(E31^2+4*Paramètres!$B$7/PI()/Paramètres!$B$8*(AW31^2-E31^2))^0.5)</f>
        <v>0.251710987422915</v>
      </c>
      <c r="AW31" s="85" t="n">
        <f aca="false">(R31/PI()/Paramètres!$B$7)^0.5/A31/D31*10^6</f>
        <v>2.27202772983663</v>
      </c>
      <c r="AX31" s="12" t="e">
        <f aca="false">Q31*VLOOKUP(H31,Paramètres!$B$15:$C$18,2,0)*Paramètres!$B$9</f>
        <v>#N/A</v>
      </c>
      <c r="AY31" s="13" t="e">
        <f aca="false">(AX31/PI()/Paramètres!$B$7)^0.5/A31/D31*10^6</f>
        <v>#N/A</v>
      </c>
      <c r="AZ31" s="12" t="n">
        <f aca="false">(IF(F31&gt;0,(F31*F31 -E31*E31)/Paramètres!$B$7*Paramètres!$B$8,0)+E31*E31)*D31*G31</f>
        <v>13329.3211719745</v>
      </c>
      <c r="BA31" s="80" t="n">
        <f aca="false">-1+AZ31/AZ30</f>
        <v>-0.0905199434260611</v>
      </c>
      <c r="BB31" s="80" t="str">
        <f aca="false">IF(F31&gt;0,"",0.234*Paramètres!$B$12*10^9*IF(F31&gt;0,E31,E31)^2/Paramètres!$B$7/A31^2/D31^4*10^6)</f>
        <v/>
      </c>
      <c r="BC31" s="11" t="n">
        <v>2</v>
      </c>
      <c r="BD31" s="80" t="n">
        <f aca="false">BC31*SQRT(1+L31*BC31^2)-BC31</f>
        <v>0.000432361144496074</v>
      </c>
      <c r="BE31" s="11" t="n">
        <f aca="false">IF(F31&gt;0,PI()^2*Paramètres!$B$12*10^9/8/O31*(E31^4+E31^2*F31^2)*10^-12/D31^2/10^-6,"-")</f>
        <v>0.00186088877917617</v>
      </c>
      <c r="BF31" s="11" t="n">
        <f aca="false">IF(ISBLANK(D31),"-",PI()^3*E31^4*Paramètres!$B$12*10^9/64/O31/(D31/1000)^2*10^-12)</f>
        <v>0.000108101969634015</v>
      </c>
      <c r="BG31" s="90" t="n">
        <f aca="false">(Paramètres!$B$12*10^9)^0.5/Paramètres!$B$7/2/D31*1000</f>
        <v>27.6322517451298</v>
      </c>
    </row>
    <row r="32" customFormat="false" ht="12.8" hidden="false" customHeight="false" outlineLevel="0" collapsed="false">
      <c r="A32" s="79" t="n">
        <f aca="false">IF(ISBLANK(D32),"-",IF(AND($A$6,$A$4/2&lt;AD32),AG32,AD32))</f>
        <v>82.4068892282175</v>
      </c>
      <c r="B32" s="79" t="str">
        <f aca="false">IF(ISBLANK(D32),"",VLOOKUP(MOD(C32-Paramètres!$B$54,12)+1,Paramètres!$B$40:$C$52,2)&amp;" "&amp;(TRUNC((C32-Paramètres!$B$54+120)/12)-10+1))</f>
        <v>Mi 1</v>
      </c>
      <c r="C32" s="11" t="n">
        <f aca="false">IF(ISBLANK(D32),"",C31+1)</f>
        <v>20</v>
      </c>
      <c r="D32" s="25" t="n">
        <v>1020</v>
      </c>
      <c r="E32" s="6" t="n">
        <v>1</v>
      </c>
      <c r="F32" s="6" t="n">
        <v>2.3</v>
      </c>
      <c r="G32" s="25" t="n">
        <v>2</v>
      </c>
      <c r="H32" s="25" t="s">
        <v>73</v>
      </c>
      <c r="I32" s="80" t="n">
        <f aca="false">IF(ISBLANK(D32),"",IF(F32&gt;0,AU32/AT32,AM32))</f>
        <v>0.612831460111249</v>
      </c>
      <c r="J32" s="81" t="str">
        <f aca="false">IF(ISBLANK(D32),"",IF(AQ32,"","]"&amp;AO32&amp;" -- "&amp;AP32&amp;"["))</f>
        <v/>
      </c>
      <c r="K32" s="80" t="n">
        <f aca="false">IF(ISBLANK(D32),"",BA32)</f>
        <v>-0.0975468867967027</v>
      </c>
      <c r="L32" s="82" t="n">
        <f aca="false">IF(ISBLANK(D32),"",IF(F32&gt;0,BF32,BF32))</f>
        <v>0.000111406158283658</v>
      </c>
      <c r="M32" s="80" t="str">
        <f aca="false">IF(ISBLANK(D32),"",IF(F32&gt;0,"-",N32/(2^(1/12)-1)))</f>
        <v>-</v>
      </c>
      <c r="N32" s="83" t="str">
        <f aca="false">IF(ISBLANK(D32),"",IF(F32&gt;0,"-",1.5*L32))</f>
        <v>-</v>
      </c>
      <c r="O32" s="12" t="n">
        <f aca="false">IF(ISBLANK(D32),"",IF(F32&gt;0,AU32,AK32))</f>
        <v>844.328544168274</v>
      </c>
      <c r="P32" s="12" t="n">
        <f aca="false">IF(ISBLANK(D32),"",IF(F32&gt;0,AU32*G32,AL32))</f>
        <v>1688.65708833655</v>
      </c>
      <c r="Q32" s="84" t="n">
        <v>0.6</v>
      </c>
      <c r="R32" s="12" t="n">
        <f aca="false">IF(ISBLANK(D32),"",AT32*Q32)</f>
        <v>826.65</v>
      </c>
      <c r="S32" s="13" t="n">
        <f aca="false">IF(ISBLANK(D32),"",AJ32)</f>
        <v>2.27526252710984</v>
      </c>
      <c r="T32" s="85" t="n">
        <f aca="false">IF(ISBLANK(F32),"",ROUND(S32*10*G32,0)/10/G32)</f>
        <v>2.3</v>
      </c>
      <c r="U32" s="86" t="n">
        <f aca="false">IF(F32&gt;0,(AJ32-E32)/2,"")</f>
        <v>0.637631263554918</v>
      </c>
      <c r="V32" s="86" t="n">
        <f aca="false">IF(F32&gt;0,AN32,"")</f>
        <v>0.66665838031846</v>
      </c>
      <c r="W32" s="87" t="str">
        <f aca="false">IF(F32&gt;0,IF(U32&lt;Paramètres!$B$5,"!!!",""),"")</f>
        <v/>
      </c>
      <c r="X32" s="88" t="n">
        <f aca="false">IF(U32&lt;&gt;"",IF(U32/3&gt;=Paramètres!$B$5,(S32-E32)/2/3,""),"")</f>
        <v>0.212543754518306</v>
      </c>
      <c r="Y32" s="88" t="n">
        <f aca="false">IF(U32&lt;&gt;"",IF(U32/3&gt;=Paramètres!$B$5,AV32,""),"")</f>
        <v>0.2333730424611</v>
      </c>
      <c r="Z32" s="88" t="n">
        <f aca="false">IF(X32&lt;&gt;"",Y32*2,"")</f>
        <v>0.4667460849222</v>
      </c>
      <c r="AB32" s="1"/>
      <c r="AC32" s="79" t="str">
        <f aca="false">INDEX('Charge de rupture par diamètre'!$C$1:$AC$1,AR32)</f>
        <v>Stephen Paulello France</v>
      </c>
      <c r="AD32" s="13" t="n">
        <f aca="false">IF(ISBLANK(D32),"-",$A$4/16 * 2^((C32-1)/12))</f>
        <v>82.4068892282175</v>
      </c>
      <c r="AE32" s="13" t="n">
        <f aca="false">AF32/(AF$9*SQRT(1+$L32*AF$9^2))</f>
        <v>164.68569807758</v>
      </c>
      <c r="AF32" s="13" t="n">
        <f aca="false">AG44</f>
        <v>329.444775984894</v>
      </c>
      <c r="AG32" s="13" t="n">
        <f aca="false">$AE32*AG$9*SQRT(1+$G32*AG$9^2)</f>
        <v>285.243996350317</v>
      </c>
      <c r="AH32" s="19" t="n">
        <f aca="false">IF(AND(C32&gt;12,F20="",AD32&gt;$A$4),AH20*2*(1+N20),IF(AD32&gt;=$A$4/2,AD32,AD32))</f>
        <v>82.4068892282175</v>
      </c>
      <c r="AI32" s="19" t="e">
        <f aca="false">IF(AND(C32&gt;12,F20="",AD32&gt;$A$4),AH20*2*(1+N20),IF(AD32&gt;=$A$4/2,AD32,AH44/2/(1+N32)))</f>
        <v>#VALUE!</v>
      </c>
      <c r="AJ32" s="85" t="n">
        <f aca="false">IF(Q32&gt;0,((R32*10^12/PI()/A32^2/D32^2-Paramètres!$B$7*E32^2)*4/PI()/Paramètres!$B$8+E32^2)^0.5,"")</f>
        <v>2.27526252710984</v>
      </c>
      <c r="AK32" s="12" t="n">
        <f aca="false">PI()*Paramètres!$B$7*(E32*A32*D32)^2/10^12</f>
        <v>174.239619318686</v>
      </c>
      <c r="AL32" s="12" t="n">
        <f aca="false">AK32*G32</f>
        <v>348.479238637372</v>
      </c>
      <c r="AM32" s="80" t="n">
        <f aca="false">AK32/AT32</f>
        <v>0.126466789561739</v>
      </c>
      <c r="AN32" s="85" t="n">
        <f aca="false">(-E32+0.1*Paramètres!$B$7/E32/Paramètres!$B$8/PI()*(AW32^2-E32^2)+(E32^2+3.8*Paramètres!$B$7/Paramètres!$B$8/PI()*(AW32^2-E32^2))^0.5)/2</f>
        <v>0.66665838031846</v>
      </c>
      <c r="AO32" s="85" t="n">
        <f aca="false">VLOOKUP(C32,Paramètres!$C$30:$F$37,2,1)</f>
        <v>0.5</v>
      </c>
      <c r="AP32" s="85" t="n">
        <f aca="false">VLOOKUP(C32,Paramètres!$C$30:$F$37,4,1)</f>
        <v>0.65</v>
      </c>
      <c r="AQ32" s="11" t="b">
        <f aca="false">AND(I32&gt;=AO32,I32&lt;=AP32)</f>
        <v>1</v>
      </c>
      <c r="AR32" s="12" t="n">
        <f aca="false">HLOOKUP(H32,'Charge de rupture par diamètre'!$D$16:$AC$17,2,0)</f>
        <v>3</v>
      </c>
      <c r="AS32" s="12" t="n">
        <f aca="false">VLOOKUP(E32,'Charge de rupture par diamètre'!$C$16:$AC$53,AR32,1)</f>
        <v>1837</v>
      </c>
      <c r="AT32" s="12" t="n">
        <f aca="false">AS32*Paramètres!$B$9</f>
        <v>1377.75</v>
      </c>
      <c r="AU32" s="79" t="n">
        <f aca="false">PI()*A32^2*D32^2*(Paramètres!$B$7*E32^2+Paramètres!$B$8*PI()/4*(F32^2-E32^2))/10^12</f>
        <v>844.328544168274</v>
      </c>
      <c r="AV32" s="13" t="n">
        <f aca="false">0.183*(-E32+(E32^2+4*Paramètres!$B$7/PI()/Paramètres!$B$8*(AW32^2-E32^2))^0.5)</f>
        <v>0.2333730424611</v>
      </c>
      <c r="AW32" s="85" t="n">
        <f aca="false">(R32/PI()/Paramètres!$B$7)^0.5/A32/D32*10^6</f>
        <v>2.17814796266809</v>
      </c>
      <c r="AX32" s="12" t="e">
        <f aca="false">Q32*VLOOKUP(H32,Paramètres!$B$15:$C$18,2,0)*Paramètres!$B$9</f>
        <v>#N/A</v>
      </c>
      <c r="AY32" s="13" t="e">
        <f aca="false">(AX32/PI()/Paramètres!$B$7)^0.5/A32/D32*10^6</f>
        <v>#N/A</v>
      </c>
      <c r="AZ32" s="12" t="n">
        <f aca="false">(IF(F32&gt;0,(F32*F32 -E32*E32)/Paramètres!$B$7*Paramètres!$B$8,0)+E32*E32)*D32*G32</f>
        <v>12029.087388535</v>
      </c>
      <c r="BA32" s="80" t="n">
        <f aca="false">-1+AZ32/AZ31</f>
        <v>-0.0975468867967027</v>
      </c>
      <c r="BB32" s="80" t="str">
        <f aca="false">IF(F32&gt;0,"",0.234*Paramètres!$B$12*10^9*IF(F32&gt;0,E32,E32)^2/Paramètres!$B$7/A32^2/D32^4*10^6)</f>
        <v/>
      </c>
      <c r="BC32" s="11" t="n">
        <v>2</v>
      </c>
      <c r="BD32" s="80" t="n">
        <f aca="false">BC32*SQRT(1+L32*BC32^2)-BC32</f>
        <v>0.000445574998864551</v>
      </c>
      <c r="BE32" s="11" t="n">
        <f aca="false">IF(F32&gt;0,PI()^2*Paramètres!$B$12*10^9/8/O32*(E32^4+E32^2*F32^2)*10^-12/D32^2/10^-6,"-")</f>
        <v>0.00178443181627253</v>
      </c>
      <c r="BF32" s="11" t="n">
        <f aca="false">IF(ISBLANK(D32),"-",PI()^3*E32^4*Paramètres!$B$12*10^9/64/O32/(D32/1000)^2*10^-12)</f>
        <v>0.000111406158283658</v>
      </c>
      <c r="BG32" s="90" t="n">
        <f aca="false">(Paramètres!$B$12*10^9)^0.5/Paramètres!$B$7/2/D32*1000</f>
        <v>28.0656988313279</v>
      </c>
    </row>
    <row r="33" customFormat="false" ht="12.8" hidden="false" customHeight="false" outlineLevel="0" collapsed="false">
      <c r="A33" s="79" t="n">
        <f aca="false">IF(ISBLANK(D33),"-",IF(AND($A$6,$A$4/2&lt;AD33),AG33,AD33))</f>
        <v>87.307057858251</v>
      </c>
      <c r="B33" s="79" t="str">
        <f aca="false">IF(ISBLANK(D33),"",VLOOKUP(MOD(C33-Paramètres!$B$54,12)+1,Paramètres!$B$40:$C$52,2)&amp;" "&amp;(TRUNC((C33-Paramètres!$B$54+120)/12)-10+1))</f>
        <v>Fa 1</v>
      </c>
      <c r="C33" s="11" t="n">
        <f aca="false">IF(ISBLANK(D33),"",C32+1)</f>
        <v>21</v>
      </c>
      <c r="D33" s="25" t="n">
        <v>1005</v>
      </c>
      <c r="E33" s="6" t="n">
        <v>1</v>
      </c>
      <c r="F33" s="6" t="n">
        <v>2.2</v>
      </c>
      <c r="G33" s="25" t="n">
        <v>2</v>
      </c>
      <c r="H33" s="25" t="s">
        <v>73</v>
      </c>
      <c r="I33" s="80" t="n">
        <f aca="false">IF(ISBLANK(D33),"",IF(F33&gt;0,AU33/AT33,AM33))</f>
        <v>0.612203978750023</v>
      </c>
      <c r="J33" s="81" t="str">
        <f aca="false">IF(ISBLANK(D33),"",IF(AQ33,"","]"&amp;AO33&amp;" -- "&amp;AP33&amp;"["))</f>
        <v/>
      </c>
      <c r="K33" s="80" t="n">
        <f aca="false">IF(ISBLANK(D33),"",BA33)</f>
        <v>-0.100530967738328</v>
      </c>
      <c r="L33" s="82" t="n">
        <f aca="false">IF(ISBLANK(D33),"",IF(F33&gt;0,BF33,BF33))</f>
        <v>0.000114874153087288</v>
      </c>
      <c r="M33" s="80" t="str">
        <f aca="false">IF(ISBLANK(D33),"",IF(F33&gt;0,"-",N33/(2^(1/12)-1)))</f>
        <v>-</v>
      </c>
      <c r="N33" s="83" t="str">
        <f aca="false">IF(ISBLANK(D33),"",IF(F33&gt;0,"-",1.5*L33))</f>
        <v>-</v>
      </c>
      <c r="O33" s="12" t="n">
        <f aca="false">IF(ISBLANK(D33),"",IF(F33&gt;0,AU33,AK33))</f>
        <v>843.464031722844</v>
      </c>
      <c r="P33" s="12" t="n">
        <f aca="false">IF(ISBLANK(D33),"",IF(F33&gt;0,AU33*G33,AL33))</f>
        <v>1686.92806344569</v>
      </c>
      <c r="Q33" s="84" t="n">
        <v>0.6</v>
      </c>
      <c r="R33" s="12" t="n">
        <f aca="false">IF(ISBLANK(D33),"",AT33*Q33)</f>
        <v>826.65</v>
      </c>
      <c r="S33" s="13" t="n">
        <f aca="false">IF(ISBLANK(D33),"",AJ33)</f>
        <v>2.17743300354192</v>
      </c>
      <c r="T33" s="85" t="n">
        <f aca="false">IF(ISBLANK(F33),"",ROUND(S33*10*G33,0)/10/G33)</f>
        <v>2.2</v>
      </c>
      <c r="U33" s="86" t="n">
        <f aca="false">IF(F33&gt;0,(AJ33-E33)/2,"")</f>
        <v>0.588716501770962</v>
      </c>
      <c r="V33" s="86" t="n">
        <f aca="false">IF(F33&gt;0,AN33,"")</f>
        <v>0.613788348648225</v>
      </c>
      <c r="W33" s="87" t="str">
        <f aca="false">IF(F33&gt;0,IF(U33&lt;Paramètres!$B$5,"!!!",""),"")</f>
        <v/>
      </c>
      <c r="X33" s="88" t="str">
        <f aca="false">IF(U33&lt;&gt;"",IF(U33/3&gt;=Paramètres!$B$5,(S33-E33)/2/3,""),"")</f>
        <v/>
      </c>
      <c r="Y33" s="88" t="str">
        <f aca="false">IF(U33&lt;&gt;"",IF(U33/3&gt;=Paramètres!$B$5,AV33,""),"")</f>
        <v/>
      </c>
      <c r="Z33" s="88" t="str">
        <f aca="false">IF(X33&lt;&gt;"",Y33*2,"")</f>
        <v/>
      </c>
      <c r="AB33" s="1"/>
      <c r="AC33" s="79" t="str">
        <f aca="false">INDEX('Charge de rupture par diamètre'!$C$1:$AC$1,AR33)</f>
        <v>Stephen Paulello France</v>
      </c>
      <c r="AD33" s="13" t="n">
        <f aca="false">IF(ISBLANK(D33),"-",$A$4/16 * 2^((C33-1)/12))</f>
        <v>87.307057858251</v>
      </c>
      <c r="AE33" s="13" t="n">
        <f aca="false">AF33/(AF$9*SQRT(1+$L33*AF$9^2))</f>
        <v>174.488892240748</v>
      </c>
      <c r="AF33" s="13" t="n">
        <f aca="false">AG45</f>
        <v>349.057952328218</v>
      </c>
      <c r="AG33" s="13" t="n">
        <f aca="false">$AE33*AG$9*SQRT(1+$G33*AG$9^2)</f>
        <v>302.223626717387</v>
      </c>
      <c r="AH33" s="19" t="n">
        <f aca="false">IF(AND(C33&gt;12,F21="",AD33&gt;$A$4),AH21*2*(1+N21),IF(AD33&gt;=$A$4/2,AD33,AD33))</f>
        <v>87.307057858251</v>
      </c>
      <c r="AI33" s="19" t="e">
        <f aca="false">IF(AND(C33&gt;12,F21="",AD33&gt;$A$4),AH21*2*(1+N21),IF(AD33&gt;=$A$4/2,AD33,AH45/2/(1+N33)))</f>
        <v>#VALUE!</v>
      </c>
      <c r="AJ33" s="85" t="n">
        <f aca="false">IF(Q33&gt;0,((R33*10^12/PI()/A33^2/D33^2-Paramètres!$B$7*E33^2)*4/PI()/Paramètres!$B$8+E33^2)^0.5,"")</f>
        <v>2.17743300354192</v>
      </c>
      <c r="AK33" s="12" t="n">
        <f aca="false">PI()*Paramètres!$B$7*(E33*A33*D33)^2/10^12</f>
        <v>189.867380844933</v>
      </c>
      <c r="AL33" s="12" t="n">
        <f aca="false">AK33*G33</f>
        <v>379.734761689866</v>
      </c>
      <c r="AM33" s="80" t="n">
        <f aca="false">AK33/AT33</f>
        <v>0.137809748390443</v>
      </c>
      <c r="AN33" s="85" t="n">
        <f aca="false">(-E33+0.1*Paramètres!$B$7/E33/Paramètres!$B$8/PI()*(AW33^2-E33^2)+(E33^2+3.8*Paramètres!$B$7/Paramètres!$B$8/PI()*(AW33^2-E33^2))^0.5)/2</f>
        <v>0.613788348648225</v>
      </c>
      <c r="AO33" s="85" t="n">
        <f aca="false">VLOOKUP(C33,Paramètres!$C$30:$F$37,2,1)</f>
        <v>0.5</v>
      </c>
      <c r="AP33" s="85" t="n">
        <f aca="false">VLOOKUP(C33,Paramètres!$C$30:$F$37,4,1)</f>
        <v>0.65</v>
      </c>
      <c r="AQ33" s="11" t="b">
        <f aca="false">AND(I33&gt;=AO33,I33&lt;=AP33)</f>
        <v>1</v>
      </c>
      <c r="AR33" s="12" t="n">
        <f aca="false">HLOOKUP(H33,'Charge de rupture par diamètre'!$D$16:$AC$17,2,0)</f>
        <v>3</v>
      </c>
      <c r="AS33" s="12" t="n">
        <f aca="false">VLOOKUP(E33,'Charge de rupture par diamètre'!$C$16:$AC$53,AR33,1)</f>
        <v>1837</v>
      </c>
      <c r="AT33" s="12" t="n">
        <f aca="false">AS33*Paramètres!$B$9</f>
        <v>1377.75</v>
      </c>
      <c r="AU33" s="79" t="n">
        <f aca="false">PI()*A33^2*D33^2*(Paramètres!$B$7*E33^2+Paramètres!$B$8*PI()/4*(F33^2-E33^2))/10^12</f>
        <v>843.464031722844</v>
      </c>
      <c r="AV33" s="13" t="n">
        <f aca="false">0.183*(-E33+(E33^2+4*Paramètres!$B$7/PI()/Paramètres!$B$8*(AW33^2-E33^2))^0.5)</f>
        <v>0.215470239648172</v>
      </c>
      <c r="AW33" s="85" t="n">
        <f aca="false">(R33/PI()/Paramètres!$B$7)^0.5/A33/D33*10^6</f>
        <v>2.08658295463286</v>
      </c>
      <c r="AX33" s="12" t="e">
        <f aca="false">Q33*VLOOKUP(H33,Paramètres!$B$15:$C$18,2,0)*Paramètres!$B$9</f>
        <v>#N/A</v>
      </c>
      <c r="AY33" s="13" t="e">
        <f aca="false">(AX33/PI()/Paramètres!$B$7)^0.5/A33/D33*10^6</f>
        <v>#N/A</v>
      </c>
      <c r="AZ33" s="12" t="n">
        <f aca="false">(IF(F33&gt;0,(F33*F33 -E33*E33)/Paramètres!$B$7*Paramètres!$B$8,0)+E33*E33)*D33*G33</f>
        <v>10819.7915923567</v>
      </c>
      <c r="BA33" s="80" t="n">
        <f aca="false">-1+AZ33/AZ32</f>
        <v>-0.100530967738328</v>
      </c>
      <c r="BB33" s="80" t="str">
        <f aca="false">IF(F33&gt;0,"",0.234*Paramètres!$B$12*10^9*IF(F33&gt;0,E33,E33)^2/Paramètres!$B$7/A33^2/D33^4*10^6)</f>
        <v/>
      </c>
      <c r="BC33" s="11" t="n">
        <v>2</v>
      </c>
      <c r="BD33" s="80" t="n">
        <f aca="false">BC33*SQRT(1+L33*BC33^2)-BC33</f>
        <v>0.000459443840188811</v>
      </c>
      <c r="BE33" s="11" t="n">
        <f aca="false">IF(F33&gt;0,PI()^2*Paramètres!$B$12*10^9/8/O33*(E33^4+E33^2*F33^2)*10^-12/D33^2/10^-6,"-")</f>
        <v>0.00170834383194317</v>
      </c>
      <c r="BF33" s="11" t="n">
        <f aca="false">IF(ISBLANK(D33),"-",PI()^3*E33^4*Paramètres!$B$12*10^9/64/O33/(D33/1000)^2*10^-12)</f>
        <v>0.000114874153087288</v>
      </c>
      <c r="BG33" s="90" t="n">
        <f aca="false">(Paramètres!$B$12*10^9)^0.5/Paramètres!$B$7/2/D33*1000</f>
        <v>28.4845898586611</v>
      </c>
    </row>
    <row r="34" customFormat="false" ht="12.8" hidden="false" customHeight="false" outlineLevel="0" collapsed="false">
      <c r="A34" s="79" t="n">
        <f aca="false">IF(ISBLANK(D34),"-",IF(AND($A$6,$A$4/2&lt;AD34),AG34,AD34))</f>
        <v>92.4986056779086</v>
      </c>
      <c r="B34" s="79" t="str">
        <f aca="false">IF(ISBLANK(D34),"",VLOOKUP(MOD(C34-Paramètres!$B$54,12)+1,Paramètres!$B$40:$C$52,2)&amp;" "&amp;(TRUNC((C34-Paramètres!$B$54+120)/12)-10+1))</f>
        <v>Fa# 1</v>
      </c>
      <c r="C34" s="11" t="n">
        <f aca="false">IF(ISBLANK(D34),"",C33+1)</f>
        <v>22</v>
      </c>
      <c r="D34" s="25" t="n">
        <v>990</v>
      </c>
      <c r="E34" s="6" t="n">
        <v>1</v>
      </c>
      <c r="F34" s="6" t="n">
        <v>2.1</v>
      </c>
      <c r="G34" s="25" t="n">
        <v>2</v>
      </c>
      <c r="H34" s="25" t="s">
        <v>73</v>
      </c>
      <c r="I34" s="80" t="n">
        <f aca="false">IF(ISBLANK(D34),"",IF(F34&gt;0,AU34/AT34,AM34))</f>
        <v>0.608955020054362</v>
      </c>
      <c r="J34" s="81" t="str">
        <f aca="false">IF(ISBLANK(D34),"",IF(AQ34,"","]"&amp;AO34&amp;" -- "&amp;AP34&amp;"["))</f>
        <v/>
      </c>
      <c r="K34" s="80" t="n">
        <f aca="false">IF(ISBLANK(D34),"",BA34)</f>
        <v>-0.104741247709258</v>
      </c>
      <c r="L34" s="82" t="n">
        <f aca="false">IF(ISBLANK(D34),"",IF(F34&gt;0,BF34,BF34))</f>
        <v>0.000119013160830556</v>
      </c>
      <c r="M34" s="80" t="str">
        <f aca="false">IF(ISBLANK(D34),"",IF(F34&gt;0,"-",N34/(2^(1/12)-1)))</f>
        <v>-</v>
      </c>
      <c r="N34" s="83" t="str">
        <f aca="false">IF(ISBLANK(D34),"",IF(F34&gt;0,"-",1.5*L34))</f>
        <v>-</v>
      </c>
      <c r="O34" s="12" t="n">
        <f aca="false">IF(ISBLANK(D34),"",IF(F34&gt;0,AU34,AK34))</f>
        <v>838.987778879898</v>
      </c>
      <c r="P34" s="12" t="n">
        <f aca="false">IF(ISBLANK(D34),"",IF(F34&gt;0,AU34*G34,AL34))</f>
        <v>1677.9755577598</v>
      </c>
      <c r="Q34" s="84" t="n">
        <v>0.6</v>
      </c>
      <c r="R34" s="12" t="n">
        <f aca="false">IF(ISBLANK(D34),"",AT34*Q34)</f>
        <v>826.65</v>
      </c>
      <c r="S34" s="13" t="n">
        <f aca="false">IF(ISBLANK(D34),"",AJ34)</f>
        <v>2.08409451300222</v>
      </c>
      <c r="T34" s="85" t="n">
        <f aca="false">IF(ISBLANK(F34),"",ROUND(S34*10*G34,0)/10/G34)</f>
        <v>2.1</v>
      </c>
      <c r="U34" s="86" t="n">
        <f aca="false">IF(F34&gt;0,(AJ34-E34)/2,"")</f>
        <v>0.542047256501111</v>
      </c>
      <c r="V34" s="86" t="n">
        <f aca="false">IF(F34&gt;0,AN34,"")</f>
        <v>0.563590247225051</v>
      </c>
      <c r="W34" s="87" t="str">
        <f aca="false">IF(F34&gt;0,IF(U34&lt;Paramètres!$B$5,"!!!",""),"")</f>
        <v/>
      </c>
      <c r="X34" s="88" t="str">
        <f aca="false">IF(U34&lt;&gt;"",IF(U34/3&gt;=Paramètres!$B$5,(S34-E34)/2/3,""),"")</f>
        <v/>
      </c>
      <c r="Y34" s="88" t="str">
        <f aca="false">IF(U34&lt;&gt;"",IF(U34/3&gt;=Paramètres!$B$5,AV34,""),"")</f>
        <v/>
      </c>
      <c r="Z34" s="88" t="str">
        <f aca="false">IF(X34&lt;&gt;"",Y34*2,"")</f>
        <v/>
      </c>
      <c r="AB34" s="1"/>
      <c r="AC34" s="79" t="str">
        <f aca="false">INDEX('Charge de rupture par diamètre'!$C$1:$AC$1,AR34)</f>
        <v>Stephen Paulello France</v>
      </c>
      <c r="AD34" s="13" t="n">
        <f aca="false">IF(ISBLANK(D34),"-",$A$4/16 * 2^((C34-1)/12))</f>
        <v>92.4986056779086</v>
      </c>
      <c r="AE34" s="13" t="n">
        <f aca="false">AF34/(AF$9*SQRT(1+$L34*AF$9^2))</f>
        <v>184.866958683062</v>
      </c>
      <c r="AF34" s="13" t="n">
        <f aca="false">AG46</f>
        <v>369.821913299039</v>
      </c>
      <c r="AG34" s="13" t="n">
        <f aca="false">$AE34*AG$9*SQRT(1+$G34*AG$9^2)</f>
        <v>320.198965079799</v>
      </c>
      <c r="AH34" s="19" t="n">
        <f aca="false">IF(AND(C34&gt;12,F22="",AD34&gt;$A$4),AH22*2*(1+N22),IF(AD34&gt;=$A$4/2,AD34,AD34))</f>
        <v>92.4986056779086</v>
      </c>
      <c r="AI34" s="19" t="e">
        <f aca="false">IF(AND(C34&gt;12,F22="",AD34&gt;$A$4),AH22*2*(1+N22),IF(AD34&gt;=$A$4/2,AD34,AH46/2/(1+N34)))</f>
        <v>#VALUE!</v>
      </c>
      <c r="AJ34" s="85" t="n">
        <f aca="false">IF(Q34&gt;0,((R34*10^12/PI()/A34^2/D34^2-Paramètres!$B$7*E34^2)*4/PI()/Paramètres!$B$8+E34^2)^0.5,"")</f>
        <v>2.08409451300222</v>
      </c>
      <c r="AK34" s="12" t="n">
        <f aca="false">PI()*Paramètres!$B$7*(E34*A34*D34)^2/10^12</f>
        <v>206.804645943471</v>
      </c>
      <c r="AL34" s="12" t="n">
        <f aca="false">AK34*G34</f>
        <v>413.609291886941</v>
      </c>
      <c r="AM34" s="80" t="n">
        <f aca="false">AK34/AT34</f>
        <v>0.150103172522933</v>
      </c>
      <c r="AN34" s="85" t="n">
        <f aca="false">(-E34+0.1*Paramètres!$B$7/E34/Paramètres!$B$8/PI()*(AW34^2-E34^2)+(E34^2+3.8*Paramètres!$B$7/Paramètres!$B$8/PI()*(AW34^2-E34^2))^0.5)/2</f>
        <v>0.563590247225051</v>
      </c>
      <c r="AO34" s="85" t="n">
        <f aca="false">VLOOKUP(C34,Paramètres!$C$30:$F$37,2,1)</f>
        <v>0.5</v>
      </c>
      <c r="AP34" s="85" t="n">
        <f aca="false">VLOOKUP(C34,Paramètres!$C$30:$F$37,4,1)</f>
        <v>0.65</v>
      </c>
      <c r="AQ34" s="11" t="b">
        <f aca="false">AND(I34&gt;=AO34,I34&lt;=AP34)</f>
        <v>1</v>
      </c>
      <c r="AR34" s="12" t="n">
        <f aca="false">HLOOKUP(H34,'Charge de rupture par diamètre'!$D$16:$AC$17,2,0)</f>
        <v>3</v>
      </c>
      <c r="AS34" s="12" t="n">
        <f aca="false">VLOOKUP(E34,'Charge de rupture par diamètre'!$C$16:$AC$53,AR34,1)</f>
        <v>1837</v>
      </c>
      <c r="AT34" s="12" t="n">
        <f aca="false">AS34*Paramètres!$B$9</f>
        <v>1377.75</v>
      </c>
      <c r="AU34" s="79" t="n">
        <f aca="false">PI()*A34^2*D34^2*(Paramètres!$B$7*E34^2+Paramètres!$B$8*PI()/4*(F34^2-E34^2))/10^12</f>
        <v>838.987778879898</v>
      </c>
      <c r="AV34" s="13" t="n">
        <f aca="false">0.183*(-E34+(E34^2+4*Paramètres!$B$7/PI()/Paramètres!$B$8*(AW34^2-E34^2))^0.5)</f>
        <v>0.198389295879407</v>
      </c>
      <c r="AW34" s="85" t="n">
        <f aca="false">(R34/PI()/Paramètres!$B$7)^0.5/A34/D34*10^6</f>
        <v>1.99931253779618</v>
      </c>
      <c r="AX34" s="12" t="e">
        <f aca="false">Q34*VLOOKUP(H34,Paramètres!$B$15:$C$18,2,0)*Paramètres!$B$9</f>
        <v>#N/A</v>
      </c>
      <c r="AY34" s="13" t="e">
        <f aca="false">(AX34/PI()/Paramètres!$B$7)^0.5/A34/D34*10^6</f>
        <v>#N/A</v>
      </c>
      <c r="AZ34" s="12" t="n">
        <f aca="false">(IF(F34&gt;0,(F34*F34 -E34*E34)/Paramètres!$B$7*Paramètres!$B$8,0)+E34*E34)*D34*G34</f>
        <v>9686.51312101911</v>
      </c>
      <c r="BA34" s="80" t="n">
        <f aca="false">-1+AZ34/AZ33</f>
        <v>-0.104741247709258</v>
      </c>
      <c r="BB34" s="80" t="str">
        <f aca="false">IF(F34&gt;0,"",0.234*Paramètres!$B$12*10^9*IF(F34&gt;0,E34,E34)^2/Paramètres!$B$7/A34^2/D34^4*10^6)</f>
        <v/>
      </c>
      <c r="BC34" s="11" t="n">
        <v>2</v>
      </c>
      <c r="BD34" s="80" t="n">
        <f aca="false">BC34*SQRT(1+L34*BC34^2)-BC34</f>
        <v>0.000475996000274037</v>
      </c>
      <c r="BE34" s="11" t="n">
        <f aca="false">IF(F34&gt;0,PI()^2*Paramètres!$B$12*10^9/8/O34*(E34^4+E34^2*F34^2)*10^-12/D34^2/10^-6,"-")</f>
        <v>0.00163957908255888</v>
      </c>
      <c r="BF34" s="11" t="n">
        <f aca="false">IF(ISBLANK(D34),"-",PI()^3*E34^4*Paramètres!$B$12*10^9/64/O34/(D34/1000)^2*10^-12)</f>
        <v>0.000119013160830556</v>
      </c>
      <c r="BG34" s="90" t="n">
        <f aca="false">(Paramètres!$B$12*10^9)^0.5/Paramètres!$B$7/2/D34*1000</f>
        <v>28.9161745534893</v>
      </c>
    </row>
    <row r="35" customFormat="false" ht="12.8" hidden="false" customHeight="false" outlineLevel="0" collapsed="false">
      <c r="A35" s="79" t="n">
        <f aca="false">IF(ISBLANK(D35),"-",IF(AND($A$6,$A$4/2&lt;AD35),AG35,AD35))</f>
        <v>97.9988589954373</v>
      </c>
      <c r="B35" s="79" t="str">
        <f aca="false">IF(ISBLANK(D35),"",VLOOKUP(MOD(C35-Paramètres!$B$54,12)+1,Paramètres!$B$40:$C$52,2)&amp;" "&amp;(TRUNC((C35-Paramètres!$B$54+120)/12)-10+1))</f>
        <v>Sol 1</v>
      </c>
      <c r="C35" s="11" t="n">
        <f aca="false">IF(ISBLANK(D35),"",C34+1)</f>
        <v>23</v>
      </c>
      <c r="D35" s="25" t="n">
        <v>974</v>
      </c>
      <c r="E35" s="6" t="n">
        <v>1</v>
      </c>
      <c r="F35" s="6" t="n">
        <v>2</v>
      </c>
      <c r="G35" s="25" t="n">
        <v>2</v>
      </c>
      <c r="H35" s="25" t="s">
        <v>73</v>
      </c>
      <c r="I35" s="80" t="n">
        <f aca="false">IF(ISBLANK(D35),"",IF(F35&gt;0,AU35/AT35,AM35))</f>
        <v>0.601672962747769</v>
      </c>
      <c r="J35" s="81" t="str">
        <f aca="false">IF(ISBLANK(D35),"",IF(AQ35,"","]"&amp;AO35&amp;" -- "&amp;AP35&amp;"["))</f>
        <v/>
      </c>
      <c r="K35" s="80" t="n">
        <f aca="false">IF(ISBLANK(D35),"",BA35)</f>
        <v>-0.110273331908804</v>
      </c>
      <c r="L35" s="82" t="n">
        <f aca="false">IF(ISBLANK(D35),"",IF(F35&gt;0,BF35,BF35))</f>
        <v>0.000124443490465962</v>
      </c>
      <c r="M35" s="80" t="str">
        <f aca="false">IF(ISBLANK(D35),"",IF(F35&gt;0,"-",N35/(2^(1/12)-1)))</f>
        <v>-</v>
      </c>
      <c r="N35" s="83" t="str">
        <f aca="false">IF(ISBLANK(D35),"",IF(F35&gt;0,"-",1.5*L35))</f>
        <v>-</v>
      </c>
      <c r="O35" s="12" t="n">
        <f aca="false">IF(ISBLANK(D35),"",IF(F35&gt;0,AU35,AK35))</f>
        <v>828.954924425739</v>
      </c>
      <c r="P35" s="12" t="n">
        <f aca="false">IF(ISBLANK(D35),"",IF(F35&gt;0,AU35*G35,AL35))</f>
        <v>1657.90984885148</v>
      </c>
      <c r="Q35" s="84" t="n">
        <v>0.6</v>
      </c>
      <c r="R35" s="12" t="n">
        <f aca="false">IF(ISBLANK(D35),"",AT35*Q35)</f>
        <v>826.65</v>
      </c>
      <c r="S35" s="13" t="n">
        <f aca="false">IF(ISBLANK(D35),"",AJ35)</f>
        <v>1.99713714122202</v>
      </c>
      <c r="T35" s="85" t="n">
        <f aca="false">IF(ISBLANK(F35),"",ROUND(S35*10*G35,0)/10/G35)</f>
        <v>2</v>
      </c>
      <c r="U35" s="86" t="n">
        <f aca="false">IF(F35&gt;0,(AJ35-E35)/2,"")</f>
        <v>0.498568570611008</v>
      </c>
      <c r="V35" s="86" t="n">
        <f aca="false">IF(F35&gt;0,AN35,"")</f>
        <v>0.517041720391118</v>
      </c>
      <c r="W35" s="87" t="str">
        <f aca="false">IF(F35&gt;0,IF(U35&lt;Paramètres!$B$5,"!!!",""),"")</f>
        <v/>
      </c>
      <c r="X35" s="88" t="str">
        <f aca="false">IF(U35&lt;&gt;"",IF(U35/3&gt;=Paramètres!$B$5,(S35-E35)/2/3,""),"")</f>
        <v/>
      </c>
      <c r="Y35" s="88" t="str">
        <f aca="false">IF(U35&lt;&gt;"",IF(U35/3&gt;=Paramètres!$B$5,AV35,""),"")</f>
        <v/>
      </c>
      <c r="Z35" s="88" t="str">
        <f aca="false">IF(X35&lt;&gt;"",Y35*2,"")</f>
        <v/>
      </c>
      <c r="AB35" s="1"/>
      <c r="AC35" s="79" t="str">
        <f aca="false">INDEX('Charge de rupture par diamètre'!$C$1:$AC$1,AR35)</f>
        <v>Stephen Paulello France</v>
      </c>
      <c r="AD35" s="13" t="n">
        <f aca="false">IF(ISBLANK(D35),"-",$A$4/16 * 2^((C35-1)/12))</f>
        <v>97.9988589954373</v>
      </c>
      <c r="AE35" s="13" t="n">
        <f aca="false">AF35/(AF$9*SQRT(1+$L35*AF$9^2))</f>
        <v>195.868460958902</v>
      </c>
      <c r="AF35" s="13" t="n">
        <f aca="false">AG47</f>
        <v>391.834408007619</v>
      </c>
      <c r="AG35" s="13" t="n">
        <f aca="false">$AE35*AG$9*SQRT(1+$G35*AG$9^2)</f>
        <v>339.254125981139</v>
      </c>
      <c r="AH35" s="19" t="n">
        <f aca="false">IF(AND(C35&gt;12,F23="",AD35&gt;$A$4),AH23*2*(1+N23),IF(AD35&gt;=$A$4/2,AD35,AD35))</f>
        <v>97.9988589954373</v>
      </c>
      <c r="AI35" s="19" t="e">
        <f aca="false">IF(AND(C35&gt;12,F23="",AD35&gt;$A$4),AH23*2*(1+N23),IF(AD35&gt;=$A$4/2,AD35,AH47/2/(1+N35)))</f>
        <v>#VALUE!</v>
      </c>
      <c r="AJ35" s="85" t="n">
        <f aca="false">IF(Q35&gt;0,((R35*10^12/PI()/A35^2/D35^2-Paramètres!$B$7*E35^2)*4/PI()/Paramètres!$B$8+E35^2)^0.5,"")</f>
        <v>1.99713714122202</v>
      </c>
      <c r="AK35" s="12" t="n">
        <f aca="false">PI()*Paramètres!$B$7*(E35*A35*D35)^2/10^12</f>
        <v>224.687794670029</v>
      </c>
      <c r="AL35" s="12" t="n">
        <f aca="false">AK35*G35</f>
        <v>449.375589340058</v>
      </c>
      <c r="AM35" s="80" t="n">
        <f aca="false">AK35/AT35</f>
        <v>0.163083138936693</v>
      </c>
      <c r="AN35" s="85" t="n">
        <f aca="false">(-E35+0.1*Paramètres!$B$7/E35/Paramètres!$B$8/PI()*(AW35^2-E35^2)+(E35^2+3.8*Paramètres!$B$7/Paramètres!$B$8/PI()*(AW35^2-E35^2))^0.5)/2</f>
        <v>0.517041720391118</v>
      </c>
      <c r="AO35" s="85" t="n">
        <f aca="false">VLOOKUP(C35,Paramètres!$C$30:$F$37,2,1)</f>
        <v>0.5</v>
      </c>
      <c r="AP35" s="85" t="n">
        <f aca="false">VLOOKUP(C35,Paramètres!$C$30:$F$37,4,1)</f>
        <v>0.65</v>
      </c>
      <c r="AQ35" s="11" t="b">
        <f aca="false">AND(I35&gt;=AO35,I35&lt;=AP35)</f>
        <v>1</v>
      </c>
      <c r="AR35" s="12" t="n">
        <f aca="false">HLOOKUP(H35,'Charge de rupture par diamètre'!$D$16:$AC$17,2,0)</f>
        <v>3</v>
      </c>
      <c r="AS35" s="12" t="n">
        <f aca="false">VLOOKUP(E35,'Charge de rupture par diamètre'!$C$16:$AC$53,AR35,1)</f>
        <v>1837</v>
      </c>
      <c r="AT35" s="12" t="n">
        <f aca="false">AS35*Paramètres!$B$9</f>
        <v>1377.75</v>
      </c>
      <c r="AU35" s="79" t="n">
        <f aca="false">PI()*A35^2*D35^2*(Paramètres!$B$7*E35^2+Paramètres!$B$8*PI()/4*(F35^2-E35^2))/10^12</f>
        <v>828.954924425739</v>
      </c>
      <c r="AV35" s="13" t="n">
        <f aca="false">0.183*(-E35+(E35^2+4*Paramètres!$B$7/PI()/Paramètres!$B$8*(AW35^2-E35^2))^0.5)</f>
        <v>0.182476096843629</v>
      </c>
      <c r="AW35" s="85" t="n">
        <f aca="false">(R35/PI()/Paramètres!$B$7)^0.5/A35/D35*10^6</f>
        <v>1.91809933262195</v>
      </c>
      <c r="AX35" s="12" t="e">
        <f aca="false">Q35*VLOOKUP(H35,Paramètres!$B$15:$C$18,2,0)*Paramètres!$B$9</f>
        <v>#N/A</v>
      </c>
      <c r="AY35" s="13" t="e">
        <f aca="false">(AX35/PI()/Paramètres!$B$7)^0.5/A35/D35*10^6</f>
        <v>#N/A</v>
      </c>
      <c r="AZ35" s="12" t="n">
        <f aca="false">(IF(F35&gt;0,(F35*F35 -E35*E35)/Paramètres!$B$7*Paramètres!$B$8,0)+E35*E35)*D35*G35</f>
        <v>8618.34904458599</v>
      </c>
      <c r="BA35" s="80" t="n">
        <f aca="false">-1+AZ35/AZ34</f>
        <v>-0.110273331908804</v>
      </c>
      <c r="BB35" s="80" t="str">
        <f aca="false">IF(F35&gt;0,"",0.234*Paramètres!$B$12*10^9*IF(F35&gt;0,E35,E35)^2/Paramètres!$B$7/A35^2/D35^4*10^6)</f>
        <v/>
      </c>
      <c r="BC35" s="11" t="n">
        <v>2</v>
      </c>
      <c r="BD35" s="80" t="n">
        <f aca="false">BC35*SQRT(1+L35*BC35^2)-BC35</f>
        <v>0.000497712032546893</v>
      </c>
      <c r="BE35" s="11" t="n">
        <f aca="false">IF(F35&gt;0,PI()^2*Paramètres!$B$12*10^9/8/O35*(E35^4+E35^2*F35^2)*10^-12/D35^2/10^-6,"-")</f>
        <v>0.00158446373146137</v>
      </c>
      <c r="BF35" s="11" t="n">
        <f aca="false">IF(ISBLANK(D35),"-",PI()^3*E35^4*Paramètres!$B$12*10^9/64/O35/(D35/1000)^2*10^-12)</f>
        <v>0.000124443490465962</v>
      </c>
      <c r="BG35" s="90" t="n">
        <f aca="false">(Paramètres!$B$12*10^9)^0.5/Paramètres!$B$7/2/D35*1000</f>
        <v>29.3911835810621</v>
      </c>
    </row>
    <row r="36" customFormat="false" ht="12.8" hidden="false" customHeight="false" outlineLevel="0" collapsed="false">
      <c r="A36" s="79" t="n">
        <f aca="false">IF(ISBLANK(D36),"-",IF(AND($A$6,$A$4/2&lt;AD36),AG36,AD36))</f>
        <v>103.826174394986</v>
      </c>
      <c r="B36" s="79" t="str">
        <f aca="false">IF(ISBLANK(D36),"",VLOOKUP(MOD(C36-Paramètres!$B$54,12)+1,Paramètres!$B$40:$C$52,2)&amp;" "&amp;(TRUNC((C36-Paramètres!$B$54+120)/12)-10+1))</f>
        <v>Sol# 1</v>
      </c>
      <c r="C36" s="11" t="n">
        <f aca="false">IF(ISBLANK(D36),"",C35+1)</f>
        <v>24</v>
      </c>
      <c r="D36" s="25" t="n">
        <v>957</v>
      </c>
      <c r="E36" s="6" t="n">
        <v>1</v>
      </c>
      <c r="F36" s="6" t="n">
        <v>1.9</v>
      </c>
      <c r="G36" s="25" t="n">
        <v>2</v>
      </c>
      <c r="H36" s="25" t="s">
        <v>73</v>
      </c>
      <c r="I36" s="80" t="n">
        <f aca="false">IF(ISBLANK(D36),"",IF(F36&gt;0,AU36/AT36,AM36))</f>
        <v>0.590201280963019</v>
      </c>
      <c r="J36" s="81" t="str">
        <f aca="false">IF(ISBLANK(D36),"",IF(AQ36,"","]"&amp;AO36&amp;" -- "&amp;AP36&amp;"["))</f>
        <v/>
      </c>
      <c r="K36" s="80" t="n">
        <f aca="false">IF(ISBLANK(D36),"",BA36)</f>
        <v>-0.116313846150208</v>
      </c>
      <c r="L36" s="82" t="n">
        <f aca="false">IF(ISBLANK(D36),"",IF(F36&gt;0,BF36,BF36))</f>
        <v>0.000131409441810792</v>
      </c>
      <c r="M36" s="80" t="str">
        <f aca="false">IF(ISBLANK(D36),"",IF(F36&gt;0,"-",N36/(2^(1/12)-1)))</f>
        <v>-</v>
      </c>
      <c r="N36" s="83" t="str">
        <f aca="false">IF(ISBLANK(D36),"",IF(F36&gt;0,"-",1.5*L36))</f>
        <v>-</v>
      </c>
      <c r="O36" s="12" t="n">
        <f aca="false">IF(ISBLANK(D36),"",IF(F36&gt;0,AU36,AK36))</f>
        <v>813.1498148468</v>
      </c>
      <c r="P36" s="12" t="n">
        <f aca="false">IF(ISBLANK(D36),"",IF(F36&gt;0,AU36*G36,AL36))</f>
        <v>1626.2996296936</v>
      </c>
      <c r="Q36" s="84" t="n">
        <v>0.6</v>
      </c>
      <c r="R36" s="12" t="n">
        <f aca="false">IF(ISBLANK(D36),"",AT36*Q36)</f>
        <v>826.65</v>
      </c>
      <c r="S36" s="13" t="n">
        <f aca="false">IF(ISBLANK(D36),"",AJ36)</f>
        <v>1.91620773672606</v>
      </c>
      <c r="T36" s="85" t="n">
        <f aca="false">IF(ISBLANK(F36),"",ROUND(S36*10*G36,0)/10/G36)</f>
        <v>1.9</v>
      </c>
      <c r="U36" s="86" t="n">
        <f aca="false">IF(F36&gt;0,(AJ36-E36)/2,"")</f>
        <v>0.458103868363028</v>
      </c>
      <c r="V36" s="86" t="n">
        <f aca="false">IF(F36&gt;0,AN36,"")</f>
        <v>0.473911240587544</v>
      </c>
      <c r="W36" s="87" t="str">
        <f aca="false">IF(F36&gt;0,IF(U36&lt;Paramètres!$B$5,"!!!",""),"")</f>
        <v/>
      </c>
      <c r="X36" s="88" t="str">
        <f aca="false">IF(U36&lt;&gt;"",IF(U36/3&gt;=Paramètres!$B$5,(S36-E36)/2/3,""),"")</f>
        <v/>
      </c>
      <c r="Y36" s="88" t="str">
        <f aca="false">IF(U36&lt;&gt;"",IF(U36/3&gt;=Paramètres!$B$5,AV36,""),"")</f>
        <v/>
      </c>
      <c r="Z36" s="88" t="str">
        <f aca="false">IF(X36&lt;&gt;"",Y36*2,"")</f>
        <v/>
      </c>
      <c r="AB36" s="1"/>
      <c r="AC36" s="79" t="str">
        <f aca="false">INDEX('Charge de rupture par diamètre'!$C$1:$AC$1,AR36)</f>
        <v>Stephen Paulello France</v>
      </c>
      <c r="AD36" s="13" t="n">
        <f aca="false">IF(ISBLANK(D36),"-",$A$4/16 * 2^((C36-1)/12))</f>
        <v>103.826174394986</v>
      </c>
      <c r="AE36" s="13" t="n">
        <f aca="false">AF36/(AF$9*SQRT(1+$L36*AF$9^2))</f>
        <v>207.513007768539</v>
      </c>
      <c r="AF36" s="13" t="n">
        <f aca="false">AG48</f>
        <v>415.135077881216</v>
      </c>
      <c r="AG36" s="13" t="n">
        <f aca="false">$AE36*AG$9*SQRT(1+$G36*AG$9^2)</f>
        <v>359.423072686544</v>
      </c>
      <c r="AH36" s="19" t="n">
        <f aca="false">IF(AND(C36&gt;12,F24="",AD36&gt;$A$4),AH24*2*(1+N24),IF(AD36&gt;=$A$4/2,AD36,AD36))</f>
        <v>103.826174394986</v>
      </c>
      <c r="AI36" s="19" t="e">
        <f aca="false">IF(AND(C36&gt;12,F24="",AD36&gt;$A$4),AH24*2*(1+N24),IF(AD36&gt;=$A$4/2,AD36,AH48/2/(1+N36)))</f>
        <v>#VALUE!</v>
      </c>
      <c r="AJ36" s="85" t="n">
        <f aca="false">IF(Q36&gt;0,((R36*10^12/PI()/A36^2/D36^2-Paramètres!$B$7*E36^2)*4/PI()/Paramètres!$B$8+E36^2)^0.5,"")</f>
        <v>1.91620773672606</v>
      </c>
      <c r="AK36" s="12" t="n">
        <f aca="false">PI()*Paramètres!$B$7*(E36*A36*D36)^2/10^12</f>
        <v>243.476533227153</v>
      </c>
      <c r="AL36" s="12" t="n">
        <f aca="false">AK36*G36</f>
        <v>486.953066454306</v>
      </c>
      <c r="AM36" s="80" t="n">
        <f aca="false">AK36/AT36</f>
        <v>0.176720401543932</v>
      </c>
      <c r="AN36" s="85" t="n">
        <f aca="false">(-E36+0.1*Paramètres!$B$7/E36/Paramètres!$B$8/PI()*(AW36^2-E36^2)+(E36^2+3.8*Paramètres!$B$7/Paramètres!$B$8/PI()*(AW36^2-E36^2))^0.5)/2</f>
        <v>0.473911240587544</v>
      </c>
      <c r="AO36" s="85" t="n">
        <f aca="false">VLOOKUP(C36,Paramètres!$C$30:$F$37,2,1)</f>
        <v>0.5</v>
      </c>
      <c r="AP36" s="85" t="n">
        <f aca="false">VLOOKUP(C36,Paramètres!$C$30:$F$37,4,1)</f>
        <v>0.65</v>
      </c>
      <c r="AQ36" s="11" t="b">
        <f aca="false">AND(I36&gt;=AO36,I36&lt;=AP36)</f>
        <v>1</v>
      </c>
      <c r="AR36" s="12" t="n">
        <f aca="false">HLOOKUP(H36,'Charge de rupture par diamètre'!$D$16:$AC$17,2,0)</f>
        <v>3</v>
      </c>
      <c r="AS36" s="12" t="n">
        <f aca="false">VLOOKUP(E36,'Charge de rupture par diamètre'!$C$16:$AC$53,AR36,1)</f>
        <v>1837</v>
      </c>
      <c r="AT36" s="12" t="n">
        <f aca="false">AS36*Paramètres!$B$9</f>
        <v>1377.75</v>
      </c>
      <c r="AU36" s="79" t="n">
        <f aca="false">PI()*A36^2*D36^2*(Paramètres!$B$7*E36^2+Paramètres!$B$8*PI()/4*(F36^2-E36^2))/10^12</f>
        <v>813.1498148468</v>
      </c>
      <c r="AV36" s="13" t="n">
        <f aca="false">0.183*(-E36+(E36^2+4*Paramètres!$B$7/PI()/Paramètres!$B$8*(AW36^2-E36^2))^0.5)</f>
        <v>0.167666015820868</v>
      </c>
      <c r="AW36" s="85" t="n">
        <f aca="false">(R36/PI()/Paramètres!$B$7)^0.5/A36/D36*10^6</f>
        <v>1.84260514870813</v>
      </c>
      <c r="AX36" s="12" t="e">
        <f aca="false">Q36*VLOOKUP(H36,Paramètres!$B$15:$C$18,2,0)*Paramètres!$B$9</f>
        <v>#N/A</v>
      </c>
      <c r="AY36" s="13" t="e">
        <f aca="false">(AX36/PI()/Paramètres!$B$7)^0.5/A36/D36*10^6</f>
        <v>#N/A</v>
      </c>
      <c r="AZ36" s="12" t="n">
        <f aca="false">(IF(F36&gt;0,(F36*F36 -E36*E36)/Paramètres!$B$7*Paramètres!$B$8,0)+E36*E36)*D36*G36</f>
        <v>7615.91571974522</v>
      </c>
      <c r="BA36" s="80" t="n">
        <f aca="false">-1+AZ36/AZ35</f>
        <v>-0.116313846150208</v>
      </c>
      <c r="BB36" s="80" t="str">
        <f aca="false">IF(F36&gt;0,"",0.234*Paramètres!$B$12*10^9*IF(F36&gt;0,E36,E36)^2/Paramètres!$B$7/A36^2/D36^4*10^6)</f>
        <v/>
      </c>
      <c r="BC36" s="11" t="n">
        <v>2</v>
      </c>
      <c r="BD36" s="80" t="n">
        <f aca="false">BC36*SQRT(1+L36*BC36^2)-BC36</f>
        <v>0.000525568711625457</v>
      </c>
      <c r="BE36" s="11" t="n">
        <f aca="false">IF(F36&gt;0,PI()^2*Paramètres!$B$12*10^9/8/O36*(E36^4+E36^2*F36^2)*10^-12/D36^2/10^-6,"-")</f>
        <v>0.00154265073431599</v>
      </c>
      <c r="BF36" s="11" t="n">
        <f aca="false">IF(ISBLANK(D36),"-",PI()^3*E36^4*Paramètres!$B$12*10^9/64/O36/(D36/1000)^2*10^-12)</f>
        <v>0.000131409441810792</v>
      </c>
      <c r="BG36" s="90" t="n">
        <f aca="false">(Paramètres!$B$12*10^9)^0.5/Paramètres!$B$7/2/D36*1000</f>
        <v>29.913284020851</v>
      </c>
    </row>
    <row r="37" customFormat="false" ht="12.8" hidden="false" customHeight="false" outlineLevel="0" collapsed="false">
      <c r="A37" s="79" t="n">
        <f aca="false">IF(ISBLANK(D37),"-",IF(AND($A$6,$A$4/2&lt;AD37),AG37,AD37))</f>
        <v>110</v>
      </c>
      <c r="B37" s="79" t="str">
        <f aca="false">IF(ISBLANK(D37),"",VLOOKUP(MOD(C37-Paramètres!$B$54,12)+1,Paramètres!$B$40:$C$52,2)&amp;" "&amp;(TRUNC((C37-Paramètres!$B$54+120)/12)-10+1))</f>
        <v>La 1</v>
      </c>
      <c r="C37" s="11" t="n">
        <f aca="false">IF(ISBLANK(D37),"",C36+1)</f>
        <v>25</v>
      </c>
      <c r="D37" s="25" t="n">
        <v>937</v>
      </c>
      <c r="E37" s="6" t="n">
        <v>1</v>
      </c>
      <c r="F37" s="6" t="n">
        <v>1.85</v>
      </c>
      <c r="G37" s="25" t="n">
        <v>2</v>
      </c>
      <c r="H37" s="25" t="s">
        <v>73</v>
      </c>
      <c r="I37" s="80" t="n">
        <f aca="false">IF(ISBLANK(D37),"",IF(F37&gt;0,AU37/AT37,AM37))</f>
        <v>0.603115396667709</v>
      </c>
      <c r="J37" s="81" t="str">
        <f aca="false">IF(ISBLANK(D37),"",IF(AQ37,"","]"&amp;AO37&amp;" -- "&amp;AP37&amp;"["))</f>
        <v/>
      </c>
      <c r="K37" s="80" t="n">
        <f aca="false">IF(ISBLANK(D37),"",BA37)</f>
        <v>-0.0735593966924618</v>
      </c>
      <c r="L37" s="82" t="n">
        <f aca="false">IF(ISBLANK(D37),"",IF(F37&gt;0,BF37,BF37))</f>
        <v>0.000134143921004852</v>
      </c>
      <c r="M37" s="80" t="str">
        <f aca="false">IF(ISBLANK(D37),"",IF(F37&gt;0,"-",N37/(2^(1/12)-1)))</f>
        <v>-</v>
      </c>
      <c r="N37" s="83" t="str">
        <f aca="false">IF(ISBLANK(D37),"",IF(F37&gt;0,"-",1.5*L37))</f>
        <v>-</v>
      </c>
      <c r="O37" s="12" t="n">
        <f aca="false">IF(ISBLANK(D37),"",IF(F37&gt;0,AU37,AK37))</f>
        <v>830.942237758936</v>
      </c>
      <c r="P37" s="12" t="n">
        <f aca="false">IF(ISBLANK(D37),"",IF(F37&gt;0,AU37*G37,AL37))</f>
        <v>1661.88447551787</v>
      </c>
      <c r="Q37" s="84" t="n">
        <v>0.6</v>
      </c>
      <c r="R37" s="12" t="n">
        <f aca="false">IF(ISBLANK(D37),"",AT37*Q37)</f>
        <v>826.65</v>
      </c>
      <c r="S37" s="13" t="n">
        <f aca="false">IF(ISBLANK(D37),"",AJ37)</f>
        <v>1.84505403930571</v>
      </c>
      <c r="T37" s="85" t="n">
        <f aca="false">IF(ISBLANK(F37),"",ROUND(S37*10*G37,0)/10/G37)</f>
        <v>1.85</v>
      </c>
      <c r="U37" s="86" t="n">
        <f aca="false">IF(F37&gt;0,(AJ37-E37)/2,"")</f>
        <v>0.422527019652854</v>
      </c>
      <c r="V37" s="86" t="n">
        <f aca="false">IF(F37&gt;0,AN37,"")</f>
        <v>0.436145127597633</v>
      </c>
      <c r="W37" s="87" t="str">
        <f aca="false">IF(F37&gt;0,IF(U37&lt;Paramètres!$B$5,"!!!",""),"")</f>
        <v/>
      </c>
      <c r="X37" s="88" t="str">
        <f aca="false">IF(U37&lt;&gt;"",IF(U37/3&gt;=Paramètres!$B$5,(S37-E37)/2/3,""),"")</f>
        <v/>
      </c>
      <c r="Y37" s="88" t="str">
        <f aca="false">IF(U37&lt;&gt;"",IF(U37/3&gt;=Paramètres!$B$5,AV37,""),"")</f>
        <v/>
      </c>
      <c r="Z37" s="88" t="str">
        <f aca="false">IF(X37&lt;&gt;"",Y37*2,"")</f>
        <v/>
      </c>
      <c r="AB37" s="1"/>
      <c r="AC37" s="79" t="str">
        <f aca="false">INDEX('Charge de rupture par diamètre'!$C$1:$AC$1,AR37)</f>
        <v>Stephen Paulello France</v>
      </c>
      <c r="AD37" s="13" t="n">
        <f aca="false">IF(ISBLANK(D37),"-",$A$4/16 * 2^((C37-1)/12))</f>
        <v>110</v>
      </c>
      <c r="AE37" s="13" t="n">
        <f aca="false">AF37/(AF$9*SQRT(1+$L37*AF$9^2))</f>
        <v>109.940568776365</v>
      </c>
      <c r="AF37" s="13" t="n">
        <f aca="false">AG49</f>
        <v>219.940121077403</v>
      </c>
      <c r="AG37" s="13" t="n">
        <f aca="false">$AE37*AG$9*SQRT(1+$G37*AG$9^2)</f>
        <v>190.422650933685</v>
      </c>
      <c r="AH37" s="19" t="n">
        <f aca="false">IF(AND(C37&gt;12,F25="",AD37&gt;$A$4),AH25*2*(1+N25),IF(AD37&gt;=$A$4/2,AD37,AD37))</f>
        <v>110</v>
      </c>
      <c r="AI37" s="19" t="e">
        <f aca="false">IF(AND(C37&gt;12,F25="",AD37&gt;$A$4),AH25*2*(1+N25),IF(AD37&gt;=$A$4/2,AD37,AH49/2/(1+N37)))</f>
        <v>#VALUE!</v>
      </c>
      <c r="AJ37" s="85" t="n">
        <f aca="false">IF(Q37&gt;0,((R37*10^12/PI()/A37^2/D37^2-Paramètres!$B$7*E37^2)*4/PI()/Paramètres!$B$8+E37^2)^0.5,"")</f>
        <v>1.84505403930571</v>
      </c>
      <c r="AK37" s="12" t="n">
        <f aca="false">PI()*Paramètres!$B$7*(E37*A37*D37)^2/10^12</f>
        <v>261.989617931153</v>
      </c>
      <c r="AL37" s="12" t="n">
        <f aca="false">AK37*G37</f>
        <v>523.979235862305</v>
      </c>
      <c r="AM37" s="80" t="n">
        <f aca="false">AK37/AT37</f>
        <v>0.190157588772384</v>
      </c>
      <c r="AN37" s="85" t="n">
        <f aca="false">(-E37+0.1*Paramètres!$B$7/E37/Paramètres!$B$8/PI()*(AW37^2-E37^2)+(E37^2+3.8*Paramètres!$B$7/Paramètres!$B$8/PI()*(AW37^2-E37^2))^0.5)/2</f>
        <v>0.436145127597633</v>
      </c>
      <c r="AO37" s="85" t="n">
        <f aca="false">VLOOKUP(C37,Paramètres!$C$30:$F$37,2,1)</f>
        <v>0.5</v>
      </c>
      <c r="AP37" s="85" t="n">
        <f aca="false">VLOOKUP(C37,Paramètres!$C$30:$F$37,4,1)</f>
        <v>0.65</v>
      </c>
      <c r="AQ37" s="11" t="b">
        <f aca="false">AND(I37&gt;=AO37,I37&lt;=AP37)</f>
        <v>1</v>
      </c>
      <c r="AR37" s="12" t="n">
        <f aca="false">HLOOKUP(H37,'Charge de rupture par diamètre'!$D$16:$AC$17,2,0)</f>
        <v>3</v>
      </c>
      <c r="AS37" s="12" t="n">
        <f aca="false">VLOOKUP(E37,'Charge de rupture par diamètre'!$C$16:$AC$53,AR37,1)</f>
        <v>1837</v>
      </c>
      <c r="AT37" s="12" t="n">
        <f aca="false">AS37*Paramètres!$B$9</f>
        <v>1377.75</v>
      </c>
      <c r="AU37" s="79" t="n">
        <f aca="false">PI()*A37^2*D37^2*(Paramètres!$B$7*E37^2+Paramètres!$B$8*PI()/4*(F37^2-E37^2))/10^12</f>
        <v>830.942237758936</v>
      </c>
      <c r="AV37" s="13" t="n">
        <f aca="false">0.183*(-E37+(E37^2+4*Paramètres!$B$7/PI()/Paramètres!$B$8*(AW37^2-E37^2))^0.5)</f>
        <v>0.154644889192945</v>
      </c>
      <c r="AW37" s="85" t="n">
        <f aca="false">(R37/PI()/Paramètres!$B$7)^0.5/A37/D37*10^6</f>
        <v>1.77631013718737</v>
      </c>
      <c r="AX37" s="12" t="e">
        <f aca="false">Q37*VLOOKUP(H37,Paramètres!$B$15:$C$18,2,0)*Paramètres!$B$9</f>
        <v>#N/A</v>
      </c>
      <c r="AY37" s="13" t="e">
        <f aca="false">(AX37/PI()/Paramètres!$B$7)^0.5/A37/D37*10^6</f>
        <v>#N/A</v>
      </c>
      <c r="AZ37" s="12" t="n">
        <f aca="false">(IF(F37&gt;0,(F37*F37 -E37*E37)/Paramètres!$B$7*Paramètres!$B$8,0)+E37*E37)*D37*G37</f>
        <v>7055.69355414013</v>
      </c>
      <c r="BA37" s="80" t="n">
        <f aca="false">-1+AZ37/AZ36</f>
        <v>-0.0735593966924618</v>
      </c>
      <c r="BB37" s="80" t="str">
        <f aca="false">IF(F37&gt;0,"",0.234*Paramètres!$B$12*10^9*IF(F37&gt;0,E37,E37)^2/Paramètres!$B$7/A37^2/D37^4*10^6)</f>
        <v/>
      </c>
      <c r="BC37" s="11" t="n">
        <v>2</v>
      </c>
      <c r="BD37" s="80" t="n">
        <f aca="false">BC37*SQRT(1+L37*BC37^2)-BC37</f>
        <v>0.000536503724957615</v>
      </c>
      <c r="BE37" s="11" t="n">
        <f aca="false">IF(F37&gt;0,PI()^2*Paramètres!$B$12*10^9/8/O37*(E37^4+E37^2*F37^2)*10^-12/D37^2/10^-6,"-")</f>
        <v>0.00151070251572194</v>
      </c>
      <c r="BF37" s="11" t="n">
        <f aca="false">IF(ISBLANK(D37),"-",PI()^3*E37^4*Paramètres!$B$12*10^9/64/O37/(D37/1000)^2*10^-12)</f>
        <v>0.000134143921004852</v>
      </c>
      <c r="BG37" s="90" t="n">
        <f aca="false">(Paramètres!$B$12*10^9)^0.5/Paramètres!$B$7/2/D37*1000</f>
        <v>30.5517746082758</v>
      </c>
    </row>
    <row r="38" customFormat="false" ht="12.8" hidden="false" customHeight="false" outlineLevel="0" collapsed="false">
      <c r="A38" s="79" t="n">
        <f aca="false">IF(ISBLANK(D38),"-",IF(AND($A$6,$A$4/2&lt;AD38),AG38,AD38))</f>
        <v>116.540940379522</v>
      </c>
      <c r="B38" s="79" t="str">
        <f aca="false">IF(ISBLANK(D38),"",VLOOKUP(MOD(C38-Paramètres!$B$54,12)+1,Paramètres!$B$40:$C$52,2)&amp;" "&amp;(TRUNC((C38-Paramètres!$B$54+120)/12)-10+1))</f>
        <v>La# 1</v>
      </c>
      <c r="C38" s="11" t="n">
        <f aca="false">IF(ISBLANK(D38),"",C37+1)</f>
        <v>26</v>
      </c>
      <c r="D38" s="25" t="n">
        <v>944</v>
      </c>
      <c r="E38" s="6" t="n">
        <v>1</v>
      </c>
      <c r="F38" s="6" t="n">
        <v>1.7</v>
      </c>
      <c r="G38" s="25" t="n">
        <v>2</v>
      </c>
      <c r="H38" s="25" t="s">
        <v>73</v>
      </c>
      <c r="I38" s="80" t="n">
        <f aca="false">IF(ISBLANK(D38),"",IF(F38&gt;0,AU38/AT38,AM38))</f>
        <v>0.583708361348462</v>
      </c>
      <c r="J38" s="81" t="str">
        <f aca="false">IF(ISBLANK(D38),"",IF(AQ38,"","]"&amp;AO38&amp;" -- "&amp;AP38&amp;"["))</f>
        <v/>
      </c>
      <c r="K38" s="80" t="n">
        <f aca="false">IF(ISBLANK(D38),"",BA38)</f>
        <v>-0.15516668235501</v>
      </c>
      <c r="L38" s="82" t="n">
        <f aca="false">IF(ISBLANK(D38),"",IF(F38&gt;0,BF38,BF38))</f>
        <v>0.00013655596978256</v>
      </c>
      <c r="M38" s="80" t="str">
        <f aca="false">IF(ISBLANK(D38),"",IF(F38&gt;0,"-",N38/(2^(1/12)-1)))</f>
        <v>-</v>
      </c>
      <c r="N38" s="83" t="str">
        <f aca="false">IF(ISBLANK(D38),"",IF(F38&gt;0,"-",1.5*L38))</f>
        <v>-</v>
      </c>
      <c r="O38" s="12" t="n">
        <f aca="false">IF(ISBLANK(D38),"",IF(F38&gt;0,AU38,AK38))</f>
        <v>804.204194847843</v>
      </c>
      <c r="P38" s="12" t="n">
        <f aca="false">IF(ISBLANK(D38),"",IF(F38&gt;0,AU38*G38,AL38))</f>
        <v>1608.40838969569</v>
      </c>
      <c r="Q38" s="84" t="n">
        <v>0.6</v>
      </c>
      <c r="R38" s="12" t="n">
        <f aca="false">IF(ISBLANK(D38),"",AT38*Q38)</f>
        <v>826.65</v>
      </c>
      <c r="S38" s="13" t="n">
        <f aca="false">IF(ISBLANK(D38),"",AJ38)</f>
        <v>1.72449569553142</v>
      </c>
      <c r="T38" s="85" t="n">
        <f aca="false">IF(ISBLANK(F38),"",ROUND(S38*10*G38,0)/10/G38)</f>
        <v>1.7</v>
      </c>
      <c r="U38" s="86" t="n">
        <f aca="false">IF(F38&gt;0,(AJ38-E38)/2,"")</f>
        <v>0.362247847765709</v>
      </c>
      <c r="V38" s="86" t="n">
        <f aca="false">IF(F38&gt;0,AN38,"")</f>
        <v>0.372492996099372</v>
      </c>
      <c r="W38" s="87" t="str">
        <f aca="false">IF(F38&gt;0,IF(U38&lt;Paramètres!$B$5,"!!!",""),"")</f>
        <v/>
      </c>
      <c r="X38" s="88" t="str">
        <f aca="false">IF(U38&lt;&gt;"",IF(U38/3&gt;=Paramètres!$B$5,(S38-E38)/2/3,""),"")</f>
        <v/>
      </c>
      <c r="Y38" s="88" t="str">
        <f aca="false">IF(U38&lt;&gt;"",IF(U38/3&gt;=Paramètres!$B$5,AV38,""),"")</f>
        <v/>
      </c>
      <c r="Z38" s="88" t="str">
        <f aca="false">IF(X38&lt;&gt;"",Y38*2,"")</f>
        <v/>
      </c>
      <c r="AB38" s="1"/>
      <c r="AC38" s="79" t="str">
        <f aca="false">INDEX('Charge de rupture par diamètre'!$C$1:$AC$1,AR38)</f>
        <v>Stephen Paulello France</v>
      </c>
      <c r="AD38" s="13" t="n">
        <f aca="false">IF(ISBLANK(D38),"-",$A$4/16 * 2^((C38-1)/12))</f>
        <v>116.540940379522</v>
      </c>
      <c r="AE38" s="13" t="n">
        <f aca="false">AF38/(AF$9*SQRT(1+$L38*AF$9^2))</f>
        <v>116.480055857261</v>
      </c>
      <c r="AF38" s="13" t="n">
        <f aca="false">AG50</f>
        <v>233.023727216582</v>
      </c>
      <c r="AG38" s="13" t="n">
        <f aca="false">$AE38*AG$9*SQRT(1+$G38*AG$9^2)</f>
        <v>201.749374813236</v>
      </c>
      <c r="AH38" s="19" t="n">
        <f aca="false">IF(AND(C38&gt;12,F26="",AD38&gt;$A$4),AH26*2*(1+N26),IF(AD38&gt;=$A$4/2,AD38,AD38))</f>
        <v>116.540940379522</v>
      </c>
      <c r="AI38" s="19" t="e">
        <f aca="false">IF(AND(C38&gt;12,F26="",AD38&gt;$A$4),AH26*2*(1+N26),IF(AD38&gt;=$A$4/2,AD38,AH50/2/(1+N38)))</f>
        <v>#VALUE!</v>
      </c>
      <c r="AJ38" s="85" t="n">
        <f aca="false">IF(Q38&gt;0,((R38*10^12/PI()/A38^2/D38^2-Paramètres!$B$7*E38^2)*4/PI()/Paramètres!$B$8+E38^2)^0.5,"")</f>
        <v>1.72449569553142</v>
      </c>
      <c r="AK38" s="12" t="n">
        <f aca="false">PI()*Paramètres!$B$7*(E38*A38*D38)^2/10^12</f>
        <v>298.483655134903</v>
      </c>
      <c r="AL38" s="12" t="n">
        <f aca="false">AK38*G38</f>
        <v>596.967310269806</v>
      </c>
      <c r="AM38" s="80" t="n">
        <f aca="false">AK38/AT38</f>
        <v>0.216645730455382</v>
      </c>
      <c r="AN38" s="85" t="n">
        <f aca="false">(-E38+0.1*Paramètres!$B$7/E38/Paramètres!$B$8/PI()*(AW38^2-E38^2)+(E38^2+3.8*Paramètres!$B$7/Paramètres!$B$8/PI()*(AW38^2-E38^2))^0.5)/2</f>
        <v>0.372492996099372</v>
      </c>
      <c r="AO38" s="85" t="n">
        <f aca="false">VLOOKUP(C38,Paramètres!$C$30:$F$37,2,1)</f>
        <v>0.5</v>
      </c>
      <c r="AP38" s="85" t="n">
        <f aca="false">VLOOKUP(C38,Paramètres!$C$30:$F$37,4,1)</f>
        <v>0.65</v>
      </c>
      <c r="AQ38" s="11" t="b">
        <f aca="false">AND(I38&gt;=AO38,I38&lt;=AP38)</f>
        <v>1</v>
      </c>
      <c r="AR38" s="12" t="n">
        <f aca="false">HLOOKUP(H38,'Charge de rupture par diamètre'!$D$16:$AC$17,2,0)</f>
        <v>3</v>
      </c>
      <c r="AS38" s="12" t="n">
        <f aca="false">VLOOKUP(E38,'Charge de rupture par diamètre'!$C$16:$AC$53,AR38,1)</f>
        <v>1837</v>
      </c>
      <c r="AT38" s="12" t="n">
        <f aca="false">AS38*Paramètres!$B$9</f>
        <v>1377.75</v>
      </c>
      <c r="AU38" s="79" t="n">
        <f aca="false">PI()*A38^2*D38^2*(Paramètres!$B$7*E38^2+Paramètres!$B$8*PI()/4*(F38^2-E38^2))/10^12</f>
        <v>804.204194847843</v>
      </c>
      <c r="AV38" s="13" t="n">
        <f aca="false">0.183*(-E38+(E38^2+4*Paramètres!$B$7/PI()/Paramètres!$B$8*(AW38^2-E38^2))^0.5)</f>
        <v>0.132582712282249</v>
      </c>
      <c r="AW38" s="85" t="n">
        <f aca="false">(R38/PI()/Paramètres!$B$7)^0.5/A38/D38*10^6</f>
        <v>1.66418099441407</v>
      </c>
      <c r="AX38" s="12" t="e">
        <f aca="false">Q38*VLOOKUP(H38,Paramètres!$B$15:$C$18,2,0)*Paramètres!$B$9</f>
        <v>#N/A</v>
      </c>
      <c r="AY38" s="13" t="e">
        <f aca="false">(AX38/PI()/Paramètres!$B$7)^0.5/A38/D38*10^6</f>
        <v>#N/A</v>
      </c>
      <c r="AZ38" s="12" t="n">
        <f aca="false">(IF(F38&gt;0,(F38*F38 -E38*E38)/Paramètres!$B$7*Paramètres!$B$8,0)+E38*E38)*D38*G38</f>
        <v>5960.88499363057</v>
      </c>
      <c r="BA38" s="80" t="n">
        <f aca="false">-1+AZ38/AZ37</f>
        <v>-0.15516668235501</v>
      </c>
      <c r="BB38" s="80" t="str">
        <f aca="false">IF(F38&gt;0,"",0.234*Paramètres!$B$12*10^9*IF(F38&gt;0,E38,E38)^2/Paramètres!$B$7/A38^2/D38^4*10^6)</f>
        <v/>
      </c>
      <c r="BC38" s="11" t="n">
        <v>2</v>
      </c>
      <c r="BD38" s="80" t="n">
        <f aca="false">BC38*SQRT(1+L38*BC38^2)-BC38</f>
        <v>0.000546149309363031</v>
      </c>
      <c r="BE38" s="11" t="n">
        <f aca="false">IF(F38&gt;0,PI()^2*Paramètres!$B$12*10^9/8/O38*(E38^4+E38^2*F38^2)*10^-12/D38^2/10^-6,"-")</f>
        <v>0.00135269662499922</v>
      </c>
      <c r="BF38" s="11" t="n">
        <f aca="false">IF(ISBLANK(D38),"-",PI()^3*E38^4*Paramètres!$B$12*10^9/64/O38/(D38/1000)^2*10^-12)</f>
        <v>0.00013655596978256</v>
      </c>
      <c r="BG38" s="90" t="n">
        <f aca="false">(Paramètres!$B$12*10^9)^0.5/Paramètres!$B$7/2/D38*1000</f>
        <v>30.3252254321551</v>
      </c>
    </row>
    <row r="39" customFormat="false" ht="12.8" hidden="false" customHeight="false" outlineLevel="0" collapsed="false">
      <c r="A39" s="79" t="n">
        <f aca="false">IF(ISBLANK(D39),"-",IF(AND($A$6,$A$4/2&lt;AD39),AG39,AD39))</f>
        <v>123.470825314031</v>
      </c>
      <c r="B39" s="79" t="str">
        <f aca="false">IF(ISBLANK(D39),"",VLOOKUP(MOD(C39-Paramètres!$B$54,12)+1,Paramètres!$B$40:$C$52,2)&amp;" "&amp;(TRUNC((C39-Paramètres!$B$54+120)/12)-10+1))</f>
        <v>Si 1</v>
      </c>
      <c r="C39" s="11" t="n">
        <f aca="false">IF(ISBLANK(D39),"",C38+1)</f>
        <v>27</v>
      </c>
      <c r="D39" s="25" t="n">
        <v>923</v>
      </c>
      <c r="E39" s="6" t="n">
        <v>1</v>
      </c>
      <c r="F39" s="6" t="n">
        <v>1.65</v>
      </c>
      <c r="G39" s="25" t="n">
        <v>2</v>
      </c>
      <c r="H39" s="25" t="s">
        <v>73</v>
      </c>
      <c r="I39" s="80" t="n">
        <f aca="false">IF(ISBLANK(D39),"",IF(F39&gt;0,AU39/AT39,AM39))</f>
        <v>0.59145635245449</v>
      </c>
      <c r="J39" s="81" t="str">
        <f aca="false">IF(ISBLANK(D39),"",IF(AQ39,"","]"&amp;AO39&amp;" -- "&amp;AP39&amp;"["))</f>
        <v/>
      </c>
      <c r="K39" s="80" t="n">
        <f aca="false">IF(ISBLANK(D39),"",BA39)</f>
        <v>-0.0814529075014108</v>
      </c>
      <c r="L39" s="82" t="n">
        <f aca="false">IF(ISBLANK(D39),"",IF(F39&gt;0,BF39,BF39))</f>
        <v>0.000140969283106838</v>
      </c>
      <c r="M39" s="80" t="str">
        <f aca="false">IF(ISBLANK(D39),"",IF(F39&gt;0,"-",N39/(2^(1/12)-1)))</f>
        <v>-</v>
      </c>
      <c r="N39" s="83" t="str">
        <f aca="false">IF(ISBLANK(D39),"",IF(F39&gt;0,"-",1.5*L39))</f>
        <v>-</v>
      </c>
      <c r="O39" s="12" t="n">
        <f aca="false">IF(ISBLANK(D39),"",IF(F39&gt;0,AU39,AK39))</f>
        <v>814.878989594173</v>
      </c>
      <c r="P39" s="12" t="n">
        <f aca="false">IF(ISBLANK(D39),"",IF(F39&gt;0,AU39*G39,AL39))</f>
        <v>1629.75797918835</v>
      </c>
      <c r="Q39" s="84" t="n">
        <v>0.6</v>
      </c>
      <c r="R39" s="12" t="n">
        <f aca="false">IF(ISBLANK(D39),"",AT39*Q39)</f>
        <v>826.65</v>
      </c>
      <c r="S39" s="13" t="n">
        <f aca="false">IF(ISBLANK(D39),"",AJ39)</f>
        <v>1.6623763959342</v>
      </c>
      <c r="T39" s="85" t="n">
        <f aca="false">IF(ISBLANK(F39),"",ROUND(S39*10*G39,0)/10/G39)</f>
        <v>1.65</v>
      </c>
      <c r="U39" s="86" t="n">
        <f aca="false">IF(F39&gt;0,(AJ39-E39)/2,"")</f>
        <v>0.3311881979671</v>
      </c>
      <c r="V39" s="86" t="n">
        <f aca="false">IF(F39&gt;0,AN39,"")</f>
        <v>0.339864043799913</v>
      </c>
      <c r="W39" s="87" t="str">
        <f aca="false">IF(F39&gt;0,IF(U39&lt;Paramètres!$B$5,"!!!",""),"")</f>
        <v/>
      </c>
      <c r="X39" s="88" t="str">
        <f aca="false">IF(U39&lt;&gt;"",IF(U39/3&gt;=Paramètres!$B$5,(S39-E39)/2/3,""),"")</f>
        <v/>
      </c>
      <c r="Y39" s="88" t="str">
        <f aca="false">IF(U39&lt;&gt;"",IF(U39/3&gt;=Paramètres!$B$5,AV39,""),"")</f>
        <v/>
      </c>
      <c r="Z39" s="88" t="str">
        <f aca="false">IF(X39&lt;&gt;"",Y39*2,"")</f>
        <v/>
      </c>
      <c r="AB39" s="1"/>
      <c r="AC39" s="79" t="str">
        <f aca="false">INDEX('Charge de rupture par diamètre'!$C$1:$AC$1,AR39)</f>
        <v>Stephen Paulello France</v>
      </c>
      <c r="AD39" s="13" t="n">
        <f aca="false">IF(ISBLANK(D39),"-",$A$4/16 * 2^((C39-1)/12))</f>
        <v>123.470825314031</v>
      </c>
      <c r="AE39" s="13" t="n">
        <f aca="false">AF39/(AF$9*SQRT(1+$L39*AF$9^2))</f>
        <v>123.408031174622</v>
      </c>
      <c r="AF39" s="13" t="n">
        <f aca="false">AG51</f>
        <v>246.885639509121</v>
      </c>
      <c r="AG39" s="13" t="n">
        <f aca="false">$AE39*AG$9*SQRT(1+$G39*AG$9^2)</f>
        <v>213.748980056489</v>
      </c>
      <c r="AH39" s="19" t="n">
        <f aca="false">IF(AND(C39&gt;12,F27="",AD39&gt;$A$4),AH27*2*(1+N27),IF(AD39&gt;=$A$4/2,AD39,AD39))</f>
        <v>123.470825314031</v>
      </c>
      <c r="AI39" s="19" t="e">
        <f aca="false">IF(AND(C39&gt;12,F27="",AD39&gt;$A$4),AH27*2*(1+N27),IF(AD39&gt;=$A$4/2,AD39,AH51/2/(1+N39)))</f>
        <v>#VALUE!</v>
      </c>
      <c r="AJ39" s="85" t="n">
        <f aca="false">IF(Q39&gt;0,((R39*10^12/PI()/A39^2/D39^2-Paramètres!$B$7*E39^2)*4/PI()/Paramètres!$B$8+E39^2)^0.5,"")</f>
        <v>1.6623763959342</v>
      </c>
      <c r="AK39" s="12" t="n">
        <f aca="false">PI()*Paramètres!$B$7*(E39*A39*D39)^2/10^12</f>
        <v>320.296087514355</v>
      </c>
      <c r="AL39" s="12" t="n">
        <f aca="false">AK39*G39</f>
        <v>640.592175028709</v>
      </c>
      <c r="AM39" s="80" t="n">
        <f aca="false">AK39/AT39</f>
        <v>0.232477653793761</v>
      </c>
      <c r="AN39" s="85" t="n">
        <f aca="false">(-E39+0.1*Paramètres!$B$7/E39/Paramètres!$B$8/PI()*(AW39^2-E39^2)+(E39^2+3.8*Paramètres!$B$7/Paramètres!$B$8/PI()*(AW39^2-E39^2))^0.5)/2</f>
        <v>0.339864043799913</v>
      </c>
      <c r="AO39" s="85" t="n">
        <f aca="false">VLOOKUP(C39,Paramètres!$C$30:$F$37,2,1)</f>
        <v>0.5</v>
      </c>
      <c r="AP39" s="85" t="n">
        <f aca="false">VLOOKUP(C39,Paramètres!$C$30:$F$37,4,1)</f>
        <v>0.65</v>
      </c>
      <c r="AQ39" s="11" t="b">
        <f aca="false">AND(I39&gt;=AO39,I39&lt;=AP39)</f>
        <v>1</v>
      </c>
      <c r="AR39" s="12" t="n">
        <f aca="false">HLOOKUP(H39,'Charge de rupture par diamètre'!$D$16:$AC$17,2,0)</f>
        <v>3</v>
      </c>
      <c r="AS39" s="12" t="n">
        <f aca="false">VLOOKUP(E39,'Charge de rupture par diamètre'!$C$16:$AC$53,AR39,1)</f>
        <v>1837</v>
      </c>
      <c r="AT39" s="12" t="n">
        <f aca="false">AS39*Paramètres!$B$9</f>
        <v>1377.75</v>
      </c>
      <c r="AU39" s="79" t="n">
        <f aca="false">PI()*A39^2*D39^2*(Paramètres!$B$7*E39^2+Paramètres!$B$8*PI()/4*(F39^2-E39^2))/10^12</f>
        <v>814.878989594173</v>
      </c>
      <c r="AV39" s="13" t="n">
        <f aca="false">0.183*(-E39+(E39^2+4*Paramètres!$B$7/PI()/Paramètres!$B$8*(AW39^2-E39^2))^0.5)</f>
        <v>0.121214880455959</v>
      </c>
      <c r="AW39" s="85" t="n">
        <f aca="false">(R39/PI()/Paramètres!$B$7)^0.5/A39/D39*10^6</f>
        <v>1.60651586296079</v>
      </c>
      <c r="AX39" s="12" t="e">
        <f aca="false">Q39*VLOOKUP(H39,Paramètres!$B$15:$C$18,2,0)*Paramètres!$B$9</f>
        <v>#N/A</v>
      </c>
      <c r="AY39" s="13" t="e">
        <f aca="false">(AX39/PI()/Paramètres!$B$7)^0.5/A39/D39*10^6</f>
        <v>#N/A</v>
      </c>
      <c r="AZ39" s="12" t="n">
        <f aca="false">(IF(F39&gt;0,(F39*F39 -E39*E39)/Paramètres!$B$7*Paramètres!$B$8,0)+E39*E39)*D39*G39</f>
        <v>5475.35357961783</v>
      </c>
      <c r="BA39" s="80" t="n">
        <f aca="false">-1+AZ39/AZ38</f>
        <v>-0.0814529075014108</v>
      </c>
      <c r="BB39" s="80" t="str">
        <f aca="false">IF(F39&gt;0,"",0.234*Paramètres!$B$12*10^9*IF(F39&gt;0,E39,E39)^2/Paramètres!$B$7/A39^2/D39^4*10^6)</f>
        <v/>
      </c>
      <c r="BC39" s="11" t="n">
        <v>2</v>
      </c>
      <c r="BD39" s="80" t="n">
        <f aca="false">BC39*SQRT(1+L39*BC39^2)-BC39</f>
        <v>0.000563797665475541</v>
      </c>
      <c r="BE39" s="11" t="n">
        <f aca="false">IF(F39&gt;0,PI()^2*Paramètres!$B$12*10^9/8/O39*(E39^4+E39^2*F39^2)*10^-12/D39^2/10^-6,"-")</f>
        <v>0.001336285672213</v>
      </c>
      <c r="BF39" s="11" t="n">
        <f aca="false">IF(ISBLANK(D39),"-",PI()^3*E39^4*Paramètres!$B$12*10^9/64/O39/(D39/1000)^2*10^-12)</f>
        <v>0.000140969283106838</v>
      </c>
      <c r="BG39" s="90" t="n">
        <f aca="false">(Paramètres!$B$12*10^9)^0.5/Paramètres!$B$7/2/D39*1000</f>
        <v>31.0151818071012</v>
      </c>
    </row>
    <row r="40" customFormat="false" ht="12.8" hidden="false" customHeight="false" outlineLevel="0" collapsed="false">
      <c r="A40" s="79" t="n">
        <f aca="false">IF(ISBLANK(D40),"-",IF(AND($A$6,$A$4/2&lt;AD40),AG40,AD40))</f>
        <v>130.812782650299</v>
      </c>
      <c r="B40" s="79" t="str">
        <f aca="false">IF(ISBLANK(D40),"",VLOOKUP(MOD(C40-Paramètres!$B$54,12)+1,Paramètres!$B$40:$C$52,2)&amp;" "&amp;(TRUNC((C40-Paramètres!$B$54+120)/12)-10+1))</f>
        <v>Do 2</v>
      </c>
      <c r="C40" s="11" t="n">
        <f aca="false">IF(ISBLANK(D40),"",C39+1)</f>
        <v>28</v>
      </c>
      <c r="D40" s="25" t="n">
        <v>896</v>
      </c>
      <c r="E40" s="6" t="n">
        <v>1</v>
      </c>
      <c r="F40" s="6" t="n">
        <v>1.6</v>
      </c>
      <c r="G40" s="25" t="n">
        <v>2</v>
      </c>
      <c r="H40" s="25" t="s">
        <v>73</v>
      </c>
      <c r="I40" s="80" t="n">
        <f aca="false">IF(ISBLANK(D40),"",IF(F40&gt;0,AU40/AT40,AM40))</f>
        <v>0.589792981740901</v>
      </c>
      <c r="J40" s="81" t="str">
        <f aca="false">IF(ISBLANK(D40),"",IF(AQ40,"","]"&amp;AO40&amp;" -- "&amp;AP40&amp;"["))</f>
        <v/>
      </c>
      <c r="K40" s="80" t="n">
        <f aca="false">IF(ISBLANK(D40),"",BA40)</f>
        <v>-0.0899564719033604</v>
      </c>
      <c r="L40" s="82" t="n">
        <f aca="false">IF(ISBLANK(D40),"",IF(F40&gt;0,BF40,BF40))</f>
        <v>0.000150015099427906</v>
      </c>
      <c r="M40" s="80" t="str">
        <f aca="false">IF(ISBLANK(D40),"",IF(F40&gt;0,"-",N40/(2^(1/12)-1)))</f>
        <v>-</v>
      </c>
      <c r="N40" s="83" t="str">
        <f aca="false">IF(ISBLANK(D40),"",IF(F40&gt;0,"-",1.5*L40))</f>
        <v>-</v>
      </c>
      <c r="O40" s="12" t="n">
        <f aca="false">IF(ISBLANK(D40),"",IF(F40&gt;0,AU40,AK40))</f>
        <v>812.587280593526</v>
      </c>
      <c r="P40" s="12" t="n">
        <f aca="false">IF(ISBLANK(D40),"",IF(F40&gt;0,AU40*G40,AL40))</f>
        <v>1625.17456118705</v>
      </c>
      <c r="Q40" s="84" t="n">
        <v>0.6</v>
      </c>
      <c r="R40" s="12" t="n">
        <f aca="false">IF(ISBLANK(D40),"",AT40*Q40)</f>
        <v>826.65</v>
      </c>
      <c r="S40" s="13" t="n">
        <f aca="false">IF(ISBLANK(D40),"",AJ40)</f>
        <v>1.61440471280837</v>
      </c>
      <c r="T40" s="85" t="n">
        <f aca="false">IF(ISBLANK(F40),"",ROUND(S40*10*G40,0)/10/G40)</f>
        <v>1.6</v>
      </c>
      <c r="U40" s="86" t="n">
        <f aca="false">IF(F40&gt;0,(AJ40-E40)/2,"")</f>
        <v>0.307202356404183</v>
      </c>
      <c r="V40" s="86" t="n">
        <f aca="false">IF(F40&gt;0,AN40,"")</f>
        <v>0.314746550509437</v>
      </c>
      <c r="W40" s="87" t="str">
        <f aca="false">IF(F40&gt;0,IF(U40&lt;Paramètres!$B$5,"!!!",""),"")</f>
        <v/>
      </c>
      <c r="X40" s="88" t="str">
        <f aca="false">IF(U40&lt;&gt;"",IF(U40/3&gt;=Paramètres!$B$5,(S40-E40)/2/3,""),"")</f>
        <v/>
      </c>
      <c r="Y40" s="88" t="str">
        <f aca="false">IF(U40&lt;&gt;"",IF(U40/3&gt;=Paramètres!$B$5,AV40,""),"")</f>
        <v/>
      </c>
      <c r="Z40" s="88" t="str">
        <f aca="false">IF(X40&lt;&gt;"",Y40*2,"")</f>
        <v/>
      </c>
      <c r="AB40" s="1"/>
      <c r="AC40" s="79" t="str">
        <f aca="false">INDEX('Charge de rupture par diamètre'!$C$1:$AC$1,AR40)</f>
        <v>Stephen Paulello France</v>
      </c>
      <c r="AD40" s="13" t="n">
        <f aca="false">IF(ISBLANK(D40),"-",$A$4/16 * 2^((C40-1)/12))</f>
        <v>130.812782650299</v>
      </c>
      <c r="AE40" s="13" t="n">
        <f aca="false">AF40/(AF$9*SQRT(1+$L40*AF$9^2))</f>
        <v>130.746856454088</v>
      </c>
      <c r="AF40" s="13" t="n">
        <f aca="false">AG52</f>
        <v>261.572157152803</v>
      </c>
      <c r="AG40" s="13" t="n">
        <f aca="false">$AE40*AG$9*SQRT(1+$G40*AG$9^2)</f>
        <v>226.460198308395</v>
      </c>
      <c r="AH40" s="19" t="n">
        <f aca="false">IF(AND(C40&gt;12,F28="",AD40&gt;$A$4),AH28*2*(1+N28),IF(AD40&gt;=$A$4/2,AD40,AD40))</f>
        <v>130.812782650299</v>
      </c>
      <c r="AI40" s="19" t="e">
        <f aca="false">IF(AND(C40&gt;12,F28="",AD40&gt;$A$4),AH28*2*(1+N28),IF(AD40&gt;=$A$4/2,AD40,AH52/2/(1+N40)))</f>
        <v>#VALUE!</v>
      </c>
      <c r="AJ40" s="85" t="n">
        <f aca="false">IF(Q40&gt;0,((R40*10^12/PI()/A40^2/D40^2-Paramètres!$B$7*E40^2)*4/PI()/Paramètres!$B$8+E40^2)^0.5,"")</f>
        <v>1.61440471280837</v>
      </c>
      <c r="AK40" s="12" t="n">
        <f aca="false">PI()*Paramètres!$B$7*(E40*A40*D40)^2/10^12</f>
        <v>338.794161081019</v>
      </c>
      <c r="AL40" s="12" t="n">
        <f aca="false">AK40*G40</f>
        <v>677.588322162037</v>
      </c>
      <c r="AM40" s="80" t="n">
        <f aca="false">AK40/AT40</f>
        <v>0.245903945622224</v>
      </c>
      <c r="AN40" s="85" t="n">
        <f aca="false">(-E40+0.1*Paramètres!$B$7/E40/Paramètres!$B$8/PI()*(AW40^2-E40^2)+(E40^2+3.8*Paramètres!$B$7/Paramètres!$B$8/PI()*(AW40^2-E40^2))^0.5)/2</f>
        <v>0.314746550509437</v>
      </c>
      <c r="AO40" s="85" t="n">
        <f aca="false">VLOOKUP(C40,Paramètres!$C$30:$F$37,2,1)</f>
        <v>0.5</v>
      </c>
      <c r="AP40" s="85" t="n">
        <f aca="false">VLOOKUP(C40,Paramètres!$C$30:$F$37,4,1)</f>
        <v>0.65</v>
      </c>
      <c r="AQ40" s="11" t="b">
        <f aca="false">AND(I40&gt;=AO40,I40&lt;=AP40)</f>
        <v>1</v>
      </c>
      <c r="AR40" s="12" t="n">
        <f aca="false">HLOOKUP(H40,'Charge de rupture par diamètre'!$D$16:$AC$17,2,0)</f>
        <v>3</v>
      </c>
      <c r="AS40" s="12" t="n">
        <f aca="false">VLOOKUP(E40,'Charge de rupture par diamètre'!$C$16:$AC$53,AR40,1)</f>
        <v>1837</v>
      </c>
      <c r="AT40" s="12" t="n">
        <f aca="false">AS40*Paramètres!$B$9</f>
        <v>1377.75</v>
      </c>
      <c r="AU40" s="79" t="n">
        <f aca="false">PI()*A40^2*D40^2*(Paramètres!$B$7*E40^2+Paramètres!$B$8*PI()/4*(F40^2-E40^2))/10^12</f>
        <v>812.587280593526</v>
      </c>
      <c r="AV40" s="13" t="n">
        <f aca="false">0.183*(-E40+(E40^2+4*Paramètres!$B$7/PI()/Paramètres!$B$8*(AW40^2-E40^2))^0.5)</f>
        <v>0.112436062443931</v>
      </c>
      <c r="AW40" s="85" t="n">
        <f aca="false">(R40/PI()/Paramètres!$B$7)^0.5/A40/D40*10^6</f>
        <v>1.56204261010613</v>
      </c>
      <c r="AX40" s="12" t="e">
        <f aca="false">Q40*VLOOKUP(H40,Paramètres!$B$15:$C$18,2,0)*Paramètres!$B$9</f>
        <v>#N/A</v>
      </c>
      <c r="AY40" s="13" t="e">
        <f aca="false">(AX40/PI()/Paramètres!$B$7)^0.5/A40/D40*10^6</f>
        <v>#N/A</v>
      </c>
      <c r="AZ40" s="12" t="n">
        <f aca="false">(IF(F40&gt;0,(F40*F40 -E40*E40)/Paramètres!$B$7*Paramètres!$B$8,0)+E40*E40)*D40*G40</f>
        <v>4982.81008917198</v>
      </c>
      <c r="BA40" s="80" t="n">
        <f aca="false">-1+AZ40/AZ39</f>
        <v>-0.0899564719033604</v>
      </c>
      <c r="BB40" s="80" t="str">
        <f aca="false">IF(F40&gt;0,"",0.234*Paramètres!$B$12*10^9*IF(F40&gt;0,E40,E40)^2/Paramètres!$B$7/A40^2/D40^4*10^6)</f>
        <v/>
      </c>
      <c r="BC40" s="11" t="n">
        <v>2</v>
      </c>
      <c r="BD40" s="80" t="n">
        <f aca="false">BC40*SQRT(1+L40*BC40^2)-BC40</f>
        <v>0.000599970406589545</v>
      </c>
      <c r="BE40" s="11" t="n">
        <f aca="false">IF(F40&gt;0,PI()^2*Paramètres!$B$12*10^9/8/O40*(E40^4+E40^2*F40^2)*10^-12/D40^2/10^-6,"-")</f>
        <v>0.00135995671712079</v>
      </c>
      <c r="BF40" s="11" t="n">
        <f aca="false">IF(ISBLANK(D40),"-",PI()^3*E40^4*Paramètres!$B$12*10^9/64/O40/(D40/1000)^2*10^-12)</f>
        <v>0.000150015099427906</v>
      </c>
      <c r="BG40" s="90" t="n">
        <f aca="false">(Paramètres!$B$12*10^9)^0.5/Paramètres!$B$7/2/D40*1000</f>
        <v>31.9497910803063</v>
      </c>
    </row>
    <row r="41" customFormat="false" ht="12.8" hidden="false" customHeight="false" outlineLevel="0" collapsed="false">
      <c r="A41" s="79" t="n">
        <f aca="false">IF(ISBLANK(D41),"-",IF(AND($A$6,$A$4/2&lt;AD41),AG41,AD41))</f>
        <v>138.591315488436</v>
      </c>
      <c r="B41" s="79" t="str">
        <f aca="false">IF(ISBLANK(D41),"",VLOOKUP(MOD(C41-Paramètres!$B$54,12)+1,Paramètres!$B$40:$C$52,2)&amp;" "&amp;(TRUNC((C41-Paramètres!$B$54+120)/12)-10+1))</f>
        <v>Do# 2</v>
      </c>
      <c r="C41" s="11" t="n">
        <f aca="false">IF(ISBLANK(D41),"",C40+1)</f>
        <v>29</v>
      </c>
      <c r="D41" s="25" t="n">
        <v>1010</v>
      </c>
      <c r="E41" s="6" t="n">
        <v>1.15</v>
      </c>
      <c r="F41" s="6"/>
      <c r="G41" s="25" t="n">
        <v>3</v>
      </c>
      <c r="H41" s="25" t="s">
        <v>74</v>
      </c>
      <c r="I41" s="80" t="n">
        <f aca="false">IF(ISBLANK(D41),"",IF(F41&gt;0,AU41/AT41,AM41))</f>
        <v>0.56204297914016</v>
      </c>
      <c r="J41" s="81" t="str">
        <f aca="false">IF(ISBLANK(D41),"",IF(AQ41,"","]"&amp;AO41&amp;" -- "&amp;AP41&amp;"["))</f>
        <v/>
      </c>
      <c r="K41" s="80" t="n">
        <f aca="false">IF(ISBLANK(D41),"",BA41)</f>
        <v>-0.195800175345255</v>
      </c>
      <c r="L41" s="82" t="n">
        <f aca="false">IF(ISBLANK(D41),"",IF(F41&gt;0,BF41,BF41))</f>
        <v>0.000262566693776319</v>
      </c>
      <c r="M41" s="80" t="n">
        <f aca="false">IF(ISBLANK(D41),"",IF(F41&gt;0,"-",N41/(2^(1/12)-1)))</f>
        <v>0.00662343668637068</v>
      </c>
      <c r="N41" s="83" t="n">
        <f aca="false">IF(ISBLANK(D41),"",IF(F41&gt;0,"-",1.5*L41))</f>
        <v>0.000393850040664478</v>
      </c>
      <c r="O41" s="12" t="n">
        <f aca="false">IF(ISBLANK(D41),"",IF(F41&gt;0,AU41,AK41))</f>
        <v>639.042867282361</v>
      </c>
      <c r="P41" s="12" t="n">
        <f aca="false">IF(ISBLANK(D41),"",IF(F41&gt;0,AU41*G41,AL41))</f>
        <v>1917.12860184708</v>
      </c>
      <c r="Q41" s="84" t="n">
        <v>0.55</v>
      </c>
      <c r="R41" s="12" t="n">
        <f aca="false">IF(ISBLANK(D41),"",AT41*Q41)</f>
        <v>625.35</v>
      </c>
      <c r="S41" s="13" t="n">
        <f aca="false">IF(ISBLANK(D41),"",AJ41)</f>
        <v>1.13617316658888</v>
      </c>
      <c r="T41" s="85" t="str">
        <f aca="false">IF(ISBLANK(F41),"",ROUND(S41*10*G41,0)/10/G41)</f>
        <v/>
      </c>
      <c r="U41" s="86" t="str">
        <f aca="false">IF(F41&gt;0,(AJ41-E41)/2,"")</f>
        <v/>
      </c>
      <c r="V41" s="86" t="str">
        <f aca="false">IF(F41&gt;0,AN41,"")</f>
        <v/>
      </c>
      <c r="W41" s="87" t="str">
        <f aca="false">IF(F41&gt;0,IF(U41&lt;Paramètres!$B$5,"!!!",""),"")</f>
        <v/>
      </c>
      <c r="X41" s="88" t="str">
        <f aca="false">IF(U41&lt;&gt;"",IF(U41/3&gt;=Paramètres!$B$5,(S41-E41)/2/3,""),"")</f>
        <v/>
      </c>
      <c r="Y41" s="88" t="str">
        <f aca="false">IF(U41&lt;&gt;"",IF(U41/3&gt;=Paramètres!$B$5,AV41,""),"")</f>
        <v/>
      </c>
      <c r="Z41" s="88" t="str">
        <f aca="false">IF(X41&lt;&gt;"",Y41*2,"")</f>
        <v/>
      </c>
      <c r="AB41" s="1"/>
      <c r="AC41" s="79" t="str">
        <f aca="false">INDEX('Charge de rupture par diamètre'!$C$1:$AC$1,AR41)</f>
        <v>Stephen Paulello France</v>
      </c>
      <c r="AD41" s="13" t="n">
        <f aca="false">IF(ISBLANK(D41),"-",$A$4/16 * 2^((C41-1)/12))</f>
        <v>138.591315488436</v>
      </c>
      <c r="AE41" s="13" t="n">
        <f aca="false">AF41/(AF$9*SQRT(1+$L41*AF$9^2))</f>
        <v>138.493458322743</v>
      </c>
      <c r="AF41" s="13" t="n">
        <f aca="false">AG53</f>
        <v>277.132333551716</v>
      </c>
      <c r="AG41" s="13" t="n">
        <f aca="false">$AE41*AG$9*SQRT(1+$G41*AG$9^2)</f>
        <v>276.986916645487</v>
      </c>
      <c r="AH41" s="19" t="n">
        <f aca="false">IF(AND(C41&gt;12,F29="",AD41&gt;$A$4),AH29*2*(1+N29),IF(AD41&gt;=$A$4/2,AD41,AD41))</f>
        <v>138.591315488436</v>
      </c>
      <c r="AI41" s="19" t="n">
        <f aca="false">IF(AND(C41&gt;12,F29="",AD41&gt;$A$4),AH29*2*(1+N29),IF(AD41&gt;=$A$4/2,AD41,AH53/2/(1+N41)))</f>
        <v>138.536752782719</v>
      </c>
      <c r="AJ41" s="85" t="n">
        <f aca="false">IF(Q41&gt;0,((R41*10^12/PI()/A41^2/D41^2-Paramètres!$B$7*E41^2)*4/PI()/Paramètres!$B$8+E41^2)^0.5,"")</f>
        <v>1.13617316658888</v>
      </c>
      <c r="AK41" s="12" t="n">
        <f aca="false">PI()*Paramètres!$B$7*(E41*A41*D41)^2/10^12</f>
        <v>639.042867282361</v>
      </c>
      <c r="AL41" s="12" t="n">
        <f aca="false">AK41*G41</f>
        <v>1917.12860184708</v>
      </c>
      <c r="AM41" s="80" t="n">
        <f aca="false">AK41/AT41</f>
        <v>0.56204297914016</v>
      </c>
      <c r="AN41" s="85" t="n">
        <f aca="false">(-E41+0.1*Paramètres!$B$7/E41/Paramètres!$B$8/PI()*(AW41^2-E41^2)+(E41^2+3.8*Paramètres!$B$7/Paramètres!$B$8/PI()*(AW41^2-E41^2))^0.5)/2</f>
        <v>-0.00690934168659996</v>
      </c>
      <c r="AO41" s="85" t="n">
        <f aca="false">VLOOKUP(C41,Paramètres!$C$30:$F$37,2,1)</f>
        <v>0.5</v>
      </c>
      <c r="AP41" s="85" t="n">
        <f aca="false">VLOOKUP(C41,Paramètres!$C$30:$F$37,4,1)</f>
        <v>0.65</v>
      </c>
      <c r="AQ41" s="11" t="b">
        <f aca="false">AND(I41&gt;=AO41,I41&lt;=AP41)</f>
        <v>1</v>
      </c>
      <c r="AR41" s="12" t="n">
        <f aca="false">HLOOKUP(H41,'Charge de rupture par diamètre'!$D$16:$AC$17,2,0)</f>
        <v>5</v>
      </c>
      <c r="AS41" s="12" t="n">
        <f aca="false">VLOOKUP(E41,'Charge de rupture par diamètre'!$C$16:$AC$53,AR41,1)</f>
        <v>1516</v>
      </c>
      <c r="AT41" s="12" t="n">
        <f aca="false">AS41*Paramètres!$B$9</f>
        <v>1137</v>
      </c>
      <c r="AU41" s="79" t="n">
        <f aca="false">PI()*A41^2*D41^2*(Paramètres!$B$7*E41^2+Paramètres!$B$8*PI()/4*(F41^2-E41^2))/10^12</f>
        <v>66.1700360861294</v>
      </c>
      <c r="AV41" s="13" t="n">
        <f aca="false">0.183*(-E41+(E41^2+4*Paramètres!$B$7/PI()/Paramètres!$B$8*(AW41^2-E41^2))^0.5)</f>
        <v>-0.00253031051423569</v>
      </c>
      <c r="AW41" s="85" t="n">
        <f aca="false">(R41/PI()/Paramètres!$B$7)^0.5/A41/D41*10^6</f>
        <v>1.13761267323901</v>
      </c>
      <c r="AX41" s="12" t="e">
        <f aca="false">Q41*VLOOKUP(H41,Paramètres!$B$15:$C$18,2,0)*Paramètres!$B$9</f>
        <v>#N/A</v>
      </c>
      <c r="AY41" s="13" t="e">
        <f aca="false">(AX41/PI()/Paramètres!$B$7)^0.5/A41/D41*10^6</f>
        <v>#N/A</v>
      </c>
      <c r="AZ41" s="12" t="n">
        <f aca="false">(IF(F41&gt;0,(F41*F41 -E41*E41)/Paramètres!$B$7*Paramètres!$B$8,0)+E41*E41)*D41*G41</f>
        <v>4007.175</v>
      </c>
      <c r="BA41" s="80" t="n">
        <f aca="false">-1+AZ41/AZ40</f>
        <v>-0.195800175345255</v>
      </c>
      <c r="BB41" s="80" t="n">
        <f aca="false">IF(F41&gt;0,"",0.234*Paramètres!$B$12*10^9*IF(F41&gt;0,E41,E41)^2/Paramètres!$B$7/A41^2/D41^4*10^6)</f>
        <v>0.000398415037340314</v>
      </c>
      <c r="BC41" s="11" t="n">
        <v>2</v>
      </c>
      <c r="BD41" s="80" t="n">
        <f aca="false">BC41*SQRT(1+L41*BC41^2)-BC41</f>
        <v>0.00104999115474902</v>
      </c>
      <c r="BE41" s="11" t="str">
        <f aca="false">IF(F41&gt;0,PI()^2*Paramètres!$B$12*10^9/8/O41*(E41^4+E41^2*F41^2)*10^-12/D41^2/10^-6,"-")</f>
        <v>-</v>
      </c>
      <c r="BF41" s="11" t="n">
        <f aca="false">IF(ISBLANK(D41),"-",PI()^3*E41^4*Paramètres!$B$12*10^9/64/O41/(D41/1000)^2*10^-12)</f>
        <v>0.000262566693776319</v>
      </c>
      <c r="BG41" s="90" t="n">
        <f aca="false">(Paramètres!$B$12*10^9)^0.5/Paramètres!$B$7/2/D41*1000</f>
        <v>28.3435770375787</v>
      </c>
    </row>
    <row r="42" customFormat="false" ht="12.8" hidden="false" customHeight="false" outlineLevel="0" collapsed="false">
      <c r="A42" s="79" t="n">
        <f aca="false">IF(ISBLANK(D42),"-",IF(AND($A$6,$A$4/2&lt;AD42),AG42,AD42))</f>
        <v>146.832383958704</v>
      </c>
      <c r="B42" s="79" t="str">
        <f aca="false">IF(ISBLANK(D42),"",VLOOKUP(MOD(C42-Paramètres!$B$54,12)+1,Paramètres!$B$40:$C$52,2)&amp;" "&amp;(TRUNC((C42-Paramètres!$B$54+120)/12)-10+1))</f>
        <v>Ré 2</v>
      </c>
      <c r="C42" s="11" t="n">
        <f aca="false">IF(ISBLANK(D42),"",C41+1)</f>
        <v>30</v>
      </c>
      <c r="D42" s="25" t="n">
        <v>990</v>
      </c>
      <c r="E42" s="6" t="n">
        <v>1.15</v>
      </c>
      <c r="F42" s="6"/>
      <c r="G42" s="25" t="n">
        <v>3</v>
      </c>
      <c r="H42" s="25" t="s">
        <v>74</v>
      </c>
      <c r="I42" s="80" t="n">
        <f aca="false">IF(ISBLANK(D42),"",IF(F42&gt;0,AU42/AT42,AM42))</f>
        <v>0.606134263820071</v>
      </c>
      <c r="J42" s="81" t="str">
        <f aca="false">IF(ISBLANK(D42),"",IF(AQ42,"","]"&amp;AO42&amp;" -- "&amp;AP42&amp;"["))</f>
        <v/>
      </c>
      <c r="K42" s="80" t="n">
        <f aca="false">IF(ISBLANK(D42),"",BA42)</f>
        <v>-0.0198019801980197</v>
      </c>
      <c r="L42" s="82" t="n">
        <f aca="false">IF(ISBLANK(D42),"",IF(F42&gt;0,BF42,BF42))</f>
        <v>0.000253403545125292</v>
      </c>
      <c r="M42" s="80" t="n">
        <f aca="false">IF(ISBLANK(D42),"",IF(F42&gt;0,"-",N42/(2^(1/12)-1)))</f>
        <v>0.00639228956689031</v>
      </c>
      <c r="N42" s="83" t="n">
        <f aca="false">IF(ISBLANK(D42),"",IF(F42&gt;0,"-",1.5*L42))</f>
        <v>0.000380105317687937</v>
      </c>
      <c r="O42" s="12" t="n">
        <f aca="false">IF(ISBLANK(D42),"",IF(F42&gt;0,AU42,AK42))</f>
        <v>689.174657963421</v>
      </c>
      <c r="P42" s="12" t="n">
        <f aca="false">IF(ISBLANK(D42),"",IF(F42&gt;0,AU42*G42,AL42))</f>
        <v>2067.52397389026</v>
      </c>
      <c r="Q42" s="84" t="n">
        <v>0.55</v>
      </c>
      <c r="R42" s="12" t="n">
        <f aca="false">IF(ISBLANK(D42),"",AT42*Q42)</f>
        <v>625.35</v>
      </c>
      <c r="S42" s="13" t="n">
        <f aca="false">IF(ISBLANK(D42),"",AJ42)</f>
        <v>1.08897938964499</v>
      </c>
      <c r="T42" s="85" t="str">
        <f aca="false">IF(ISBLANK(F42),"",ROUND(S42*10*G42,0)/10/G42)</f>
        <v/>
      </c>
      <c r="U42" s="86" t="str">
        <f aca="false">IF(F42&gt;0,(AJ42-E42)/2,"")</f>
        <v/>
      </c>
      <c r="V42" s="86" t="str">
        <f aca="false">IF(F42&gt;0,AN42,"")</f>
        <v/>
      </c>
      <c r="W42" s="87" t="str">
        <f aca="false">IF(F42&gt;0,IF(U42&lt;Paramètres!$B$5,"!!!",""),"")</f>
        <v/>
      </c>
      <c r="X42" s="88" t="str">
        <f aca="false">IF(U42&lt;&gt;"",IF(U42/3&gt;=Paramètres!$B$5,(S42-E42)/2/3,""),"")</f>
        <v/>
      </c>
      <c r="Y42" s="88" t="str">
        <f aca="false">IF(U42&lt;&gt;"",IF(U42/3&gt;=Paramètres!$B$5,AV42,""),"")</f>
        <v/>
      </c>
      <c r="Z42" s="88" t="str">
        <f aca="false">IF(X42&lt;&gt;"",Y42*2,"")</f>
        <v/>
      </c>
      <c r="AB42" s="1"/>
      <c r="AC42" s="79" t="str">
        <f aca="false">INDEX('Charge de rupture par diamètre'!$C$1:$AC$1,AR42)</f>
        <v>Stephen Paulello France</v>
      </c>
      <c r="AD42" s="13" t="n">
        <f aca="false">IF(ISBLANK(D42),"-",$A$4/16 * 2^((C42-1)/12))</f>
        <v>146.832383958704</v>
      </c>
      <c r="AE42" s="13" t="n">
        <f aca="false">AF42/(AF$9*SQRT(1+$L42*AF$9^2))</f>
        <v>146.734722715295</v>
      </c>
      <c r="AF42" s="13" t="n">
        <f aca="false">AG54</f>
        <v>293.61814015608</v>
      </c>
      <c r="AG42" s="13" t="n">
        <f aca="false">$AE42*AG$9*SQRT(1+$G42*AG$9^2)</f>
        <v>293.469445430591</v>
      </c>
      <c r="AH42" s="19" t="n">
        <f aca="false">IF(AND(C42&gt;12,F30="",AD42&gt;$A$4),AH30*2*(1+N30),IF(AD42&gt;=$A$4/2,AD42,AD42))</f>
        <v>146.832383958704</v>
      </c>
      <c r="AI42" s="19" t="n">
        <f aca="false">IF(AND(C42&gt;12,F30="",AD42&gt;$A$4),AH30*2*(1+N30),IF(AD42&gt;=$A$4/2,AD42,AH54/2/(1+N42)))</f>
        <v>146.776593395042</v>
      </c>
      <c r="AJ42" s="85" t="n">
        <f aca="false">IF(Q42&gt;0,((R42*10^12/PI()/A42^2/D42^2-Paramètres!$B$7*E42^2)*4/PI()/Paramètres!$B$8+E42^2)^0.5,"")</f>
        <v>1.08897938964499</v>
      </c>
      <c r="AK42" s="12" t="n">
        <f aca="false">PI()*Paramètres!$B$7*(E42*A42*D42)^2/10^12</f>
        <v>689.174657963421</v>
      </c>
      <c r="AL42" s="12" t="n">
        <f aca="false">AK42*G42</f>
        <v>2067.52397389026</v>
      </c>
      <c r="AM42" s="80" t="n">
        <f aca="false">AK42/AT42</f>
        <v>0.606134263820071</v>
      </c>
      <c r="AN42" s="85" t="n">
        <f aca="false">(-E42+0.1*Paramètres!$B$7/E42/Paramètres!$B$8/PI()*(AW42^2-E42^2)+(E42^2+3.8*Paramètres!$B$7/Paramètres!$B$8/PI()*(AW42^2-E42^2))^0.5)/2</f>
        <v>-0.0304293432992361</v>
      </c>
      <c r="AO42" s="85" t="n">
        <f aca="false">VLOOKUP(C42,Paramètres!$C$30:$F$37,2,1)</f>
        <v>0.5</v>
      </c>
      <c r="AP42" s="85" t="n">
        <f aca="false">VLOOKUP(C42,Paramètres!$C$30:$F$37,4,1)</f>
        <v>0.65</v>
      </c>
      <c r="AQ42" s="11" t="b">
        <f aca="false">AND(I42&gt;=AO42,I42&lt;=AP42)</f>
        <v>1</v>
      </c>
      <c r="AR42" s="12" t="n">
        <f aca="false">HLOOKUP(H42,'Charge de rupture par diamètre'!$D$16:$AC$17,2,0)</f>
        <v>5</v>
      </c>
      <c r="AS42" s="12" t="n">
        <f aca="false">VLOOKUP(E42,'Charge de rupture par diamètre'!$C$16:$AC$53,AR42,1)</f>
        <v>1516</v>
      </c>
      <c r="AT42" s="12" t="n">
        <f aca="false">AS42*Paramètres!$B$9</f>
        <v>1137</v>
      </c>
      <c r="AU42" s="79" t="n">
        <f aca="false">PI()*A42^2*D42^2*(Paramètres!$B$7*E42^2+Paramètres!$B$8*PI()/4*(F42^2-E42^2))/10^12</f>
        <v>71.3609592123588</v>
      </c>
      <c r="AV42" s="13" t="n">
        <f aca="false">0.183*(-E42+(E42^2+4*Paramètres!$B$7/PI()/Paramètres!$B$8*(AW42^2-E42^2))^0.5)</f>
        <v>-0.0111667716949668</v>
      </c>
      <c r="AW42" s="85" t="n">
        <f aca="false">(R42/PI()/Paramètres!$B$7)^0.5/A42/D42*10^6</f>
        <v>1.09545556954744</v>
      </c>
      <c r="AX42" s="12" t="e">
        <f aca="false">Q42*VLOOKUP(H42,Paramètres!$B$15:$C$18,2,0)*Paramètres!$B$9</f>
        <v>#N/A</v>
      </c>
      <c r="AY42" s="13" t="e">
        <f aca="false">(AX42/PI()/Paramètres!$B$7)^0.5/A42/D42*10^6</f>
        <v>#N/A</v>
      </c>
      <c r="AZ42" s="12" t="n">
        <f aca="false">(IF(F42&gt;0,(F42*F42 -E42*E42)/Paramètres!$B$7*Paramètres!$B$8,0)+E42*E42)*D42*G42</f>
        <v>3927.825</v>
      </c>
      <c r="BA42" s="80" t="n">
        <f aca="false">-1+AZ42/AZ41</f>
        <v>-0.0198019801980197</v>
      </c>
      <c r="BB42" s="80" t="n">
        <f aca="false">IF(F42&gt;0,"",0.234*Paramètres!$B$12*10^9*IF(F42&gt;0,E42,E42)^2/Paramètres!$B$7/A42^2/D42^4*10^6)</f>
        <v>0.000384511003437736</v>
      </c>
      <c r="BC42" s="11" t="n">
        <v>2</v>
      </c>
      <c r="BD42" s="80" t="n">
        <f aca="false">BC42*SQRT(1+L42*BC42^2)-BC42</f>
        <v>0.00101335745716735</v>
      </c>
      <c r="BE42" s="11" t="str">
        <f aca="false">IF(F42&gt;0,PI()^2*Paramètres!$B$12*10^9/8/O42*(E42^4+E42^2*F42^2)*10^-12/D42^2/10^-6,"-")</f>
        <v>-</v>
      </c>
      <c r="BF42" s="11" t="n">
        <f aca="false">IF(ISBLANK(D42),"-",PI()^3*E42^4*Paramètres!$B$12*10^9/64/O42/(D42/1000)^2*10^-12)</f>
        <v>0.000253403545125292</v>
      </c>
      <c r="BG42" s="90" t="n">
        <f aca="false">(Paramètres!$B$12*10^9)^0.5/Paramètres!$B$7/2/D42*1000</f>
        <v>28.9161745534893</v>
      </c>
    </row>
    <row r="43" customFormat="false" ht="12.8" hidden="false" customHeight="false" outlineLevel="0" collapsed="false">
      <c r="A43" s="79" t="n">
        <f aca="false">IF(ISBLANK(D43),"-",IF(AND($A$6,$A$4/2&lt;AD43),AG43,AD43))</f>
        <v>155.56349186104</v>
      </c>
      <c r="B43" s="79" t="str">
        <f aca="false">IF(ISBLANK(D43),"",VLOOKUP(MOD(C43-Paramètres!$B$54,12)+1,Paramètres!$B$40:$C$52,2)&amp;" "&amp;(TRUNC((C43-Paramètres!$B$54+120)/12)-10+1))</f>
        <v>Ré# 2</v>
      </c>
      <c r="C43" s="11" t="n">
        <f aca="false">IF(ISBLANK(D43),"",C42+1)</f>
        <v>31</v>
      </c>
      <c r="D43" s="25" t="n">
        <v>968</v>
      </c>
      <c r="E43" s="6" t="n">
        <v>1.1</v>
      </c>
      <c r="F43" s="6"/>
      <c r="G43" s="25" t="n">
        <v>3</v>
      </c>
      <c r="H43" s="25" t="s">
        <v>74</v>
      </c>
      <c r="I43" s="80" t="n">
        <f aca="false">IF(ISBLANK(D43),"",IF(F43&gt;0,AU43/AT43,AM43))</f>
        <v>0.633132857593525</v>
      </c>
      <c r="J43" s="81" t="str">
        <f aca="false">IF(ISBLANK(D43),"",IF(AQ43,"","]"&amp;AO43&amp;" -- "&amp;AP43&amp;"["))</f>
        <v/>
      </c>
      <c r="K43" s="80" t="n">
        <f aca="false">IF(ISBLANK(D43),"",BA43)</f>
        <v>-0.105398025624869</v>
      </c>
      <c r="L43" s="82" t="n">
        <f aca="false">IF(ISBLANK(D43),"",IF(F43&gt;0,BF43,BF43))</f>
        <v>0.000225980028567332</v>
      </c>
      <c r="M43" s="80" t="n">
        <f aca="false">IF(ISBLANK(D43),"",IF(F43&gt;0,"-",N43/(2^(1/12)-1)))</f>
        <v>0.00570051132561031</v>
      </c>
      <c r="N43" s="83" t="n">
        <f aca="false">IF(ISBLANK(D43),"",IF(F43&gt;0,"-",1.5*L43))</f>
        <v>0.000338970042850998</v>
      </c>
      <c r="O43" s="12" t="n">
        <f aca="false">IF(ISBLANK(D43),"",IF(F43&gt;0,AU43,AK43))</f>
        <v>676.660741553079</v>
      </c>
      <c r="P43" s="12" t="n">
        <f aca="false">IF(ISBLANK(D43),"",IF(F43&gt;0,AU43*G43,AL43))</f>
        <v>2029.98222465924</v>
      </c>
      <c r="Q43" s="84" t="n">
        <v>0.55</v>
      </c>
      <c r="R43" s="12" t="n">
        <f aca="false">IF(ISBLANK(D43),"",AT43*Q43)</f>
        <v>587.8125</v>
      </c>
      <c r="S43" s="13" t="n">
        <f aca="false">IF(ISBLANK(D43),"",AJ43)</f>
        <v>1.01625337201511</v>
      </c>
      <c r="T43" s="85" t="str">
        <f aca="false">IF(ISBLANK(F43),"",ROUND(S43*10*G43,0)/10/G43)</f>
        <v/>
      </c>
      <c r="U43" s="86" t="str">
        <f aca="false">IF(F43&gt;0,(AJ43-E43)/2,"")</f>
        <v/>
      </c>
      <c r="V43" s="86" t="str">
        <f aca="false">IF(F43&gt;0,AN43,"")</f>
        <v/>
      </c>
      <c r="W43" s="87" t="str">
        <f aca="false">IF(F43&gt;0,IF(U43&lt;Paramètres!$B$5,"!!!",""),"")</f>
        <v/>
      </c>
      <c r="X43" s="88" t="str">
        <f aca="false">IF(U43&lt;&gt;"",IF(U43/3&gt;=Paramètres!$B$5,(S43-E43)/2/3,""),"")</f>
        <v/>
      </c>
      <c r="Y43" s="88" t="str">
        <f aca="false">IF(U43&lt;&gt;"",IF(U43/3&gt;=Paramètres!$B$5,AV43,""),"")</f>
        <v/>
      </c>
      <c r="Z43" s="88" t="str">
        <f aca="false">IF(X43&lt;&gt;"",Y43*2,"")</f>
        <v/>
      </c>
      <c r="AB43" s="1"/>
      <c r="AC43" s="79" t="str">
        <f aca="false">INDEX('Charge de rupture par diamètre'!$C$1:$AC$1,AR43)</f>
        <v>Stephen Paulello France</v>
      </c>
      <c r="AD43" s="13" t="n">
        <f aca="false">IF(ISBLANK(D43),"-",$A$4/16 * 2^((C43-1)/12))</f>
        <v>155.56349186104</v>
      </c>
      <c r="AE43" s="13" t="n">
        <f aca="false">AF43/(AF$9*SQRT(1+$L43*AF$9^2))</f>
        <v>155.472068730949</v>
      </c>
      <c r="AF43" s="13" t="n">
        <f aca="false">AG55</f>
        <v>311.084640048424</v>
      </c>
      <c r="AG43" s="13" t="n">
        <f aca="false">$AE43*AG$9*SQRT(1+$G43*AG$9^2)</f>
        <v>310.944137461897</v>
      </c>
      <c r="AH43" s="19" t="n">
        <f aca="false">IF(AND(C43&gt;12,F31="",AD43&gt;$A$4),AH31*2*(1+N31),IF(AD43&gt;=$A$4/2,AD43,AD43))</f>
        <v>155.56349186104</v>
      </c>
      <c r="AI43" s="19" t="n">
        <f aca="false">IF(AND(C43&gt;12,F31="",AD43&gt;$A$4),AH31*2*(1+N31),IF(AD43&gt;=$A$4/2,AD43,AH55/2/(1+N43)))</f>
        <v>155.510778365834</v>
      </c>
      <c r="AJ43" s="85" t="n">
        <f aca="false">IF(Q43&gt;0,((R43*10^12/PI()/A43^2/D43^2-Paramètres!$B$7*E43^2)*4/PI()/Paramètres!$B$8+E43^2)^0.5,"")</f>
        <v>1.01625337201511</v>
      </c>
      <c r="AK43" s="12" t="n">
        <f aca="false">PI()*Paramètres!$B$7*(E43*A43*D43)^2/10^12</f>
        <v>676.660741553079</v>
      </c>
      <c r="AL43" s="12" t="n">
        <f aca="false">AK43*G43</f>
        <v>2029.98222465924</v>
      </c>
      <c r="AM43" s="80" t="n">
        <f aca="false">AK43/AT43</f>
        <v>0.633132857593525</v>
      </c>
      <c r="AN43" s="85" t="n">
        <f aca="false">(-E43+0.1*Paramètres!$B$7/E43/Paramètres!$B$8/PI()*(AW43^2-E43^2)+(E43^2+3.8*Paramètres!$B$7/Paramètres!$B$8/PI()*(AW43^2-E43^2))^0.5)/2</f>
        <v>-0.0417120047050501</v>
      </c>
      <c r="AO43" s="85" t="n">
        <f aca="false">VLOOKUP(C43,Paramètres!$C$30:$F$37,2,1)</f>
        <v>0.5</v>
      </c>
      <c r="AP43" s="85" t="n">
        <f aca="false">VLOOKUP(C43,Paramètres!$C$30:$F$37,4,1)</f>
        <v>0.65</v>
      </c>
      <c r="AQ43" s="11" t="b">
        <f aca="false">AND(I43&gt;=AO43,I43&lt;=AP43)</f>
        <v>1</v>
      </c>
      <c r="AR43" s="12" t="n">
        <f aca="false">HLOOKUP(H43,'Charge de rupture par diamètre'!$D$16:$AC$17,2,0)</f>
        <v>5</v>
      </c>
      <c r="AS43" s="12" t="n">
        <f aca="false">VLOOKUP(E43,'Charge de rupture par diamètre'!$C$16:$AC$53,AR43,1)</f>
        <v>1425</v>
      </c>
      <c r="AT43" s="12" t="n">
        <f aca="false">AS43*Paramètres!$B$9</f>
        <v>1068.75</v>
      </c>
      <c r="AU43" s="79" t="n">
        <f aca="false">PI()*A43^2*D43^2*(Paramètres!$B$7*E43^2+Paramètres!$B$8*PI()/4*(F43^2-E43^2))/10^12</f>
        <v>70.065199032807</v>
      </c>
      <c r="AV43" s="13" t="n">
        <f aca="false">0.183*(-E43+(E43^2+4*Paramètres!$B$7/PI()/Paramètres!$B$8*(AW43^2-E43^2))^0.5)</f>
        <v>-0.0153256329212341</v>
      </c>
      <c r="AW43" s="85" t="n">
        <f aca="false">(R43/PI()/Paramètres!$B$7)^0.5/A43/D43*10^6</f>
        <v>1.0252425062291</v>
      </c>
      <c r="AX43" s="12" t="e">
        <f aca="false">Q43*VLOOKUP(H43,Paramètres!$B$15:$C$18,2,0)*Paramètres!$B$9</f>
        <v>#N/A</v>
      </c>
      <c r="AY43" s="13" t="e">
        <f aca="false">(AX43/PI()/Paramètres!$B$7)^0.5/A43/D43*10^6</f>
        <v>#N/A</v>
      </c>
      <c r="AZ43" s="12" t="n">
        <f aca="false">(IF(F43&gt;0,(F43*F43 -E43*E43)/Paramètres!$B$7*Paramètres!$B$8,0)+E43*E43)*D43*G43</f>
        <v>3513.84</v>
      </c>
      <c r="BA43" s="80" t="n">
        <f aca="false">-1+AZ43/AZ42</f>
        <v>-0.105398025624869</v>
      </c>
      <c r="BB43" s="80" t="n">
        <f aca="false">IF(F43&gt;0,"",0.234*Paramètres!$B$12*10^9*IF(F43&gt;0,E43,E43)^2/Paramètres!$B$7/A43^2/D43^4*10^6)</f>
        <v>0.000342898942074195</v>
      </c>
      <c r="BC43" s="11" t="n">
        <v>2</v>
      </c>
      <c r="BD43" s="80" t="n">
        <f aca="false">BC43*SQRT(1+L43*BC43^2)-BC43</f>
        <v>0.000903715938644911</v>
      </c>
      <c r="BE43" s="11" t="str">
        <f aca="false">IF(F43&gt;0,PI()^2*Paramètres!$B$12*10^9/8/O43*(E43^4+E43^2*F43^2)*10^-12/D43^2/10^-6,"-")</f>
        <v>-</v>
      </c>
      <c r="BF43" s="11" t="n">
        <f aca="false">IF(ISBLANK(D43),"-",PI()^3*E43^4*Paramètres!$B$12*10^9/64/O43/(D43/1000)^2*10^-12)</f>
        <v>0.000225980028567332</v>
      </c>
      <c r="BG43" s="90" t="n">
        <f aca="false">(Paramètres!$B$12*10^9)^0.5/Paramètres!$B$7/2/D43*1000</f>
        <v>29.5733603387959</v>
      </c>
    </row>
    <row r="44" customFormat="false" ht="12.8" hidden="false" customHeight="false" outlineLevel="0" collapsed="false">
      <c r="A44" s="79" t="n">
        <f aca="false">IF(ISBLANK(D44),"-",IF(AND($A$6,$A$4/2&lt;AD44),AG44,AD44))</f>
        <v>164.813778456435</v>
      </c>
      <c r="B44" s="79" t="str">
        <f aca="false">IF(ISBLANK(D44),"",VLOOKUP(MOD(C44-Paramètres!$B$54,12)+1,Paramètres!$B$40:$C$52,2)&amp;" "&amp;(TRUNC((C44-Paramètres!$B$54+120)/12)-10+1))</f>
        <v>Mi 2</v>
      </c>
      <c r="C44" s="11" t="n">
        <f aca="false">IF(ISBLANK(D44),"",C43+1)</f>
        <v>32</v>
      </c>
      <c r="D44" s="25" t="n">
        <v>946</v>
      </c>
      <c r="E44" s="6" t="n">
        <v>1.1</v>
      </c>
      <c r="F44" s="6"/>
      <c r="G44" s="25" t="n">
        <v>3</v>
      </c>
      <c r="H44" s="25" t="s">
        <v>74</v>
      </c>
      <c r="I44" s="80" t="n">
        <f aca="false">IF(ISBLANK(D44),"",IF(F44&gt;0,AU44/AT44,AM44))</f>
        <v>0.678731611642894</v>
      </c>
      <c r="J44" s="81" t="str">
        <f aca="false">IF(ISBLANK(D44),"",IF(AQ44,"","]"&amp;AO44&amp;" -- "&amp;AP44&amp;"["))</f>
        <v>]0,5 -- 0,65[</v>
      </c>
      <c r="K44" s="80" t="n">
        <f aca="false">IF(ISBLANK(D44),"",BA44)</f>
        <v>-0.0227272727272727</v>
      </c>
      <c r="L44" s="82" t="n">
        <f aca="false">IF(ISBLANK(D44),"",IF(F44&gt;0,BF44,BF44))</f>
        <v>0.000220716741996618</v>
      </c>
      <c r="M44" s="80" t="n">
        <f aca="false">IF(ISBLANK(D44),"",IF(F44&gt;0,"-",N44/(2^(1/12)-1)))</f>
        <v>0.00556774107641394</v>
      </c>
      <c r="N44" s="83" t="n">
        <f aca="false">IF(ISBLANK(D44),"",IF(F44&gt;0,"-",1.5*L44))</f>
        <v>0.000331075112994927</v>
      </c>
      <c r="O44" s="12" t="n">
        <f aca="false">IF(ISBLANK(D44),"",IF(F44&gt;0,AU44,AK44))</f>
        <v>725.394409943343</v>
      </c>
      <c r="P44" s="12" t="n">
        <f aca="false">IF(ISBLANK(D44),"",IF(F44&gt;0,AU44*G44,AL44))</f>
        <v>2176.18322983003</v>
      </c>
      <c r="Q44" s="84" t="n">
        <v>0.55</v>
      </c>
      <c r="R44" s="12" t="n">
        <f aca="false">IF(ISBLANK(D44),"",AT44*Q44)</f>
        <v>587.8125</v>
      </c>
      <c r="S44" s="13" t="n">
        <f aca="false">IF(ISBLANK(D44),"",AJ44)</f>
        <v>0.976727938110174</v>
      </c>
      <c r="T44" s="85" t="str">
        <f aca="false">IF(ISBLANK(F44),"",ROUND(S44*10*G44,0)/10/G44)</f>
        <v/>
      </c>
      <c r="U44" s="86" t="str">
        <f aca="false">IF(F44&gt;0,(AJ44-E44)/2,"")</f>
        <v/>
      </c>
      <c r="V44" s="86" t="str">
        <f aca="false">IF(F44&gt;0,AN44,"")</f>
        <v/>
      </c>
      <c r="W44" s="87" t="str">
        <f aca="false">IF(F44&gt;0,IF(U44&lt;Paramètres!$B$5,"!!!",""),"")</f>
        <v/>
      </c>
      <c r="X44" s="88" t="str">
        <f aca="false">IF(U44&lt;&gt;"",IF(U44/3&gt;=Paramètres!$B$5,(S44-E44)/2/3,""),"")</f>
        <v/>
      </c>
      <c r="Y44" s="88" t="str">
        <f aca="false">IF(U44&lt;&gt;"",IF(U44/3&gt;=Paramètres!$B$5,AV44,""),"")</f>
        <v/>
      </c>
      <c r="Z44" s="88" t="str">
        <f aca="false">IF(X44&lt;&gt;"",Y44*2,"")</f>
        <v/>
      </c>
      <c r="AB44" s="1"/>
      <c r="AC44" s="79" t="str">
        <f aca="false">INDEX('Charge de rupture par diamètre'!$C$1:$AC$1,AR44)</f>
        <v>Stephen Paulello France</v>
      </c>
      <c r="AD44" s="13" t="n">
        <f aca="false">IF(ISBLANK(D44),"-",$A$4/16 * 2^((C44-1)/12))</f>
        <v>164.813778456435</v>
      </c>
      <c r="AE44" s="13" t="n">
        <f aca="false">AF44/(AF$9*SQRT(1+$L44*AF$9^2))</f>
        <v>164.722387992447</v>
      </c>
      <c r="AF44" s="13" t="n">
        <f aca="false">AG56</f>
        <v>329.590171855918</v>
      </c>
      <c r="AG44" s="13" t="n">
        <f aca="false">$AE44*AG$9*SQRT(1+$G44*AG$9^2)</f>
        <v>329.444775984894</v>
      </c>
      <c r="AH44" s="19" t="n">
        <f aca="false">IF(AND(C44&gt;12,F32="",AD44&gt;$A$4),AH32*2*(1+N32),IF(AD44&gt;=$A$4/2,AD44,AD44))</f>
        <v>164.813778456435</v>
      </c>
      <c r="AI44" s="19" t="n">
        <f aca="false">IF(AND(C44&gt;12,F32="",AD44&gt;$A$4),AH32*2*(1+N32),IF(AD44&gt;=$A$4/2,AD44,AH56/2/(1+N44)))</f>
        <v>164.759230775489</v>
      </c>
      <c r="AJ44" s="85" t="n">
        <f aca="false">IF(Q44&gt;0,((R44*10^12/PI()/A44^2/D44^2-Paramètres!$B$7*E44^2)*4/PI()/Paramètres!$B$8+E44^2)^0.5,"")</f>
        <v>0.976727938110174</v>
      </c>
      <c r="AK44" s="12" t="n">
        <f aca="false">PI()*Paramètres!$B$7*(E44*A44*D44)^2/10^12</f>
        <v>725.394409943343</v>
      </c>
      <c r="AL44" s="12" t="n">
        <f aca="false">AK44*G44</f>
        <v>2176.18322983003</v>
      </c>
      <c r="AM44" s="80" t="n">
        <f aca="false">AK44/AT44</f>
        <v>0.678731611642894</v>
      </c>
      <c r="AN44" s="85" t="n">
        <f aca="false">(-E44+0.1*Paramètres!$B$7/E44/Paramètres!$B$8/PI()*(AW44^2-E44^2)+(E44^2+3.8*Paramètres!$B$7/Paramètres!$B$8/PI()*(AW44^2-E44^2))^0.5)/2</f>
        <v>-0.0612797898762164</v>
      </c>
      <c r="AO44" s="85" t="n">
        <f aca="false">VLOOKUP(C44,Paramètres!$C$30:$F$37,2,1)</f>
        <v>0.5</v>
      </c>
      <c r="AP44" s="85" t="n">
        <f aca="false">VLOOKUP(C44,Paramètres!$C$30:$F$37,4,1)</f>
        <v>0.65</v>
      </c>
      <c r="AQ44" s="11" t="b">
        <f aca="false">AND(I44&gt;=AO44,I44&lt;=AP44)</f>
        <v>0</v>
      </c>
      <c r="AR44" s="12" t="n">
        <f aca="false">HLOOKUP(H44,'Charge de rupture par diamètre'!$D$16:$AC$17,2,0)</f>
        <v>5</v>
      </c>
      <c r="AS44" s="12" t="n">
        <f aca="false">VLOOKUP(E44,'Charge de rupture par diamètre'!$C$16:$AC$53,AR44,1)</f>
        <v>1425</v>
      </c>
      <c r="AT44" s="12" t="n">
        <f aca="false">AS44*Paramètres!$B$9</f>
        <v>1068.75</v>
      </c>
      <c r="AU44" s="79" t="n">
        <f aca="false">PI()*A44^2*D44^2*(Paramètres!$B$7*E44^2+Paramètres!$B$8*PI()/4*(F44^2-E44^2))/10^12</f>
        <v>75.1113528373348</v>
      </c>
      <c r="AV44" s="13" t="n">
        <f aca="false">0.183*(-E44+(E44^2+4*Paramètres!$B$7/PI()/Paramètres!$B$8*(AW44^2-E44^2))^0.5)</f>
        <v>-0.0225587873258382</v>
      </c>
      <c r="AW44" s="85" t="n">
        <f aca="false">(R44/PI()/Paramètres!$B$7)^0.5/A44/D44*10^6</f>
        <v>0.990204718594377</v>
      </c>
      <c r="AX44" s="12" t="e">
        <f aca="false">Q44*VLOOKUP(H44,Paramètres!$B$15:$C$18,2,0)*Paramètres!$B$9</f>
        <v>#N/A</v>
      </c>
      <c r="AY44" s="13" t="e">
        <f aca="false">(AX44/PI()/Paramètres!$B$7)^0.5/A44/D44*10^6</f>
        <v>#N/A</v>
      </c>
      <c r="AZ44" s="12" t="n">
        <f aca="false">(IF(F44&gt;0,(F44*F44 -E44*E44)/Paramètres!$B$7*Paramètres!$B$8,0)+E44*E44)*D44*G44</f>
        <v>3433.98</v>
      </c>
      <c r="BA44" s="80" t="n">
        <f aca="false">-1+AZ44/AZ43</f>
        <v>-0.0227272727272727</v>
      </c>
      <c r="BB44" s="80" t="n">
        <f aca="false">IF(F44&gt;0,"",0.234*Paramètres!$B$12*10^9*IF(F44&gt;0,E44,E44)^2/Paramètres!$B$7/A44^2/D44^4*10^6)</f>
        <v>0.000334912504474496</v>
      </c>
      <c r="BC44" s="11" t="n">
        <v>2</v>
      </c>
      <c r="BD44" s="80" t="n">
        <f aca="false">BC44*SQRT(1+L44*BC44^2)-BC44</f>
        <v>0.000882672190437805</v>
      </c>
      <c r="BE44" s="11" t="str">
        <f aca="false">IF(F44&gt;0,PI()^2*Paramètres!$B$12*10^9/8/O44*(E44^4+E44^2*F44^2)*10^-12/D44^2/10^-6,"-")</f>
        <v>-</v>
      </c>
      <c r="BF44" s="11" t="n">
        <f aca="false">IF(ISBLANK(D44),"-",PI()^3*E44^4*Paramètres!$B$12*10^9/64/O44/(D44/1000)^2*10^-12)</f>
        <v>0.000220716741996618</v>
      </c>
      <c r="BG44" s="90" t="n">
        <f aca="false">(Paramètres!$B$12*10^9)^0.5/Paramètres!$B$7/2/D44*1000</f>
        <v>30.2611129048144</v>
      </c>
    </row>
    <row r="45" customFormat="false" ht="12.8" hidden="false" customHeight="false" outlineLevel="0" collapsed="false">
      <c r="A45" s="79" t="n">
        <f aca="false">IF(ISBLANK(D45),"-",IF(AND($A$6,$A$4/2&lt;AD45),AG45,AD45))</f>
        <v>174.614115716502</v>
      </c>
      <c r="B45" s="79" t="str">
        <f aca="false">IF(ISBLANK(D45),"",VLOOKUP(MOD(C45-Paramètres!$B$54,12)+1,Paramètres!$B$40:$C$52,2)&amp;" "&amp;(TRUNC((C45-Paramètres!$B$54+120)/12)-10+1))</f>
        <v>Fa 2</v>
      </c>
      <c r="C45" s="11" t="n">
        <f aca="false">IF(ISBLANK(D45),"",C44+1)</f>
        <v>33</v>
      </c>
      <c r="D45" s="25" t="n">
        <v>922</v>
      </c>
      <c r="E45" s="6" t="n">
        <v>1.05</v>
      </c>
      <c r="F45" s="6"/>
      <c r="G45" s="25" t="n">
        <v>3</v>
      </c>
      <c r="H45" s="25" t="s">
        <v>75</v>
      </c>
      <c r="I45" s="80" t="n">
        <f aca="false">IF(ISBLANK(D45),"",IF(F45&gt;0,AU45/AT45,AM45))</f>
        <v>0.550457613658993</v>
      </c>
      <c r="J45" s="81" t="str">
        <f aca="false">IF(ISBLANK(D45),"",IF(AQ45,"","]"&amp;AO45&amp;" -- "&amp;AP45&amp;"["))</f>
        <v/>
      </c>
      <c r="K45" s="80" t="n">
        <f aca="false">IF(ISBLANK(D45),"",BA45)</f>
        <v>-0.111959009662258</v>
      </c>
      <c r="L45" s="82" t="n">
        <f aca="false">IF(ISBLANK(D45),"",IF(F45&gt;0,BF45,BF45))</f>
        <v>0.000198562713969113</v>
      </c>
      <c r="M45" s="80" t="n">
        <f aca="false">IF(ISBLANK(D45),"",IF(F45&gt;0,"-",N45/(2^(1/12)-1)))</f>
        <v>0.00500888953329604</v>
      </c>
      <c r="N45" s="83" t="n">
        <f aca="false">IF(ISBLANK(D45),"",IF(F45&gt;0,"-",1.5*L45))</f>
        <v>0.000297844070953669</v>
      </c>
      <c r="O45" s="12" t="n">
        <f aca="false">IF(ISBLANK(D45),"",IF(F45&gt;0,AU45,AK45))</f>
        <v>704.723359886926</v>
      </c>
      <c r="P45" s="12" t="n">
        <f aca="false">IF(ISBLANK(D45),"",IF(F45&gt;0,AU45*G45,AL45))</f>
        <v>2114.17007966078</v>
      </c>
      <c r="Q45" s="84" t="n">
        <v>0.55</v>
      </c>
      <c r="R45" s="12" t="n">
        <f aca="false">IF(ISBLANK(D45),"",AT45*Q45)</f>
        <v>704.1375</v>
      </c>
      <c r="S45" s="13" t="n">
        <f aca="false">IF(ISBLANK(D45),"",AJ45)</f>
        <v>1.04951302475302</v>
      </c>
      <c r="T45" s="85" t="str">
        <f aca="false">IF(ISBLANK(F45),"",ROUND(S45*10*G45,0)/10/G45)</f>
        <v/>
      </c>
      <c r="U45" s="86" t="str">
        <f aca="false">IF(F45&gt;0,(AJ45-E45)/2,"")</f>
        <v/>
      </c>
      <c r="V45" s="86" t="str">
        <f aca="false">IF(F45&gt;0,AN45,"")</f>
        <v/>
      </c>
      <c r="W45" s="87" t="str">
        <f aca="false">IF(F45&gt;0,IF(U45&lt;Paramètres!$B$5,"!!!",""),"")</f>
        <v/>
      </c>
      <c r="X45" s="88" t="str">
        <f aca="false">IF(U45&lt;&gt;"",IF(U45/3&gt;=Paramètres!$B$5,(S45-E45)/2/3,""),"")</f>
        <v/>
      </c>
      <c r="Y45" s="88" t="str">
        <f aca="false">IF(U45&lt;&gt;"",IF(U45/3&gt;=Paramètres!$B$5,AV45,""),"")</f>
        <v/>
      </c>
      <c r="Z45" s="88" t="str">
        <f aca="false">IF(X45&lt;&gt;"",Y45*2,"")</f>
        <v/>
      </c>
      <c r="AB45" s="1"/>
      <c r="AC45" s="79" t="str">
        <f aca="false">INDEX('Charge de rupture par diamètre'!$C$1:$AC$1,AR45)</f>
        <v>Stephen Paulello France</v>
      </c>
      <c r="AD45" s="13" t="n">
        <f aca="false">IF(ISBLANK(D45),"-",$A$4/16 * 2^((C45-1)/12))</f>
        <v>174.614115716502</v>
      </c>
      <c r="AE45" s="13" t="n">
        <f aca="false">AF45/(AF$9*SQRT(1+$L45*AF$9^2))</f>
        <v>174.528976164109</v>
      </c>
      <c r="AF45" s="13" t="n">
        <f aca="false">AG57</f>
        <v>349.196544603115</v>
      </c>
      <c r="AG45" s="13" t="n">
        <f aca="false">$AE45*AG$9*SQRT(1+$G45*AG$9^2)</f>
        <v>349.057952328218</v>
      </c>
      <c r="AH45" s="19" t="n">
        <f aca="false">IF(AND(C45&gt;12,F33="",AD45&gt;$A$4),AH33*2*(1+N33),IF(AD45&gt;=$A$4/2,AD45,AD45))</f>
        <v>174.614115716502</v>
      </c>
      <c r="AI45" s="19" t="n">
        <f aca="false">IF(AND(C45&gt;12,F33="",AD45&gt;$A$4),AH33*2*(1+N33),IF(AD45&gt;=$A$4/2,AD45,AH57/2/(1+N45)))</f>
        <v>174.562123423027</v>
      </c>
      <c r="AJ45" s="85" t="n">
        <f aca="false">IF(Q45&gt;0,((R45*10^12/PI()/A45^2/D45^2-Paramètres!$B$7*E45^2)*4/PI()/Paramètres!$B$8+E45^2)^0.5,"")</f>
        <v>1.04951302475302</v>
      </c>
      <c r="AK45" s="12" t="n">
        <f aca="false">PI()*Paramètres!$B$7*(E45*A45*D45)^2/10^12</f>
        <v>704.723359886926</v>
      </c>
      <c r="AL45" s="12" t="n">
        <f aca="false">AK45*G45</f>
        <v>2114.17007966078</v>
      </c>
      <c r="AM45" s="80" t="n">
        <f aca="false">AK45/AT45</f>
        <v>0.550457613658993</v>
      </c>
      <c r="AN45" s="85" t="n">
        <f aca="false">(-E45+0.1*Paramètres!$B$7/E45/Paramètres!$B$8/PI()*(AW45^2-E45^2)+(E45^2+3.8*Paramètres!$B$7/Paramètres!$B$8/PI()*(AW45^2-E45^2))^0.5)/2</f>
        <v>-0.0002434821171583</v>
      </c>
      <c r="AO45" s="85" t="n">
        <f aca="false">VLOOKUP(C45,Paramètres!$C$30:$F$37,2,1)</f>
        <v>0.5</v>
      </c>
      <c r="AP45" s="85" t="n">
        <f aca="false">VLOOKUP(C45,Paramètres!$C$30:$F$37,4,1)</f>
        <v>0.65</v>
      </c>
      <c r="AQ45" s="11" t="b">
        <f aca="false">AND(I45&gt;=AO45,I45&lt;=AP45)</f>
        <v>1</v>
      </c>
      <c r="AR45" s="12" t="n">
        <f aca="false">HLOOKUP(H45,'Charge de rupture par diamètre'!$D$16:$AC$17,2,0)</f>
        <v>4</v>
      </c>
      <c r="AS45" s="12" t="n">
        <f aca="false">VLOOKUP(E45,'Charge de rupture par diamètre'!$C$16:$AC$53,AR45,1)</f>
        <v>1707</v>
      </c>
      <c r="AT45" s="12" t="n">
        <f aca="false">AS45*Paramètres!$B$9</f>
        <v>1280.25</v>
      </c>
      <c r="AU45" s="79" t="n">
        <f aca="false">PI()*A45^2*D45^2*(Paramètres!$B$7*E45^2+Paramètres!$B$8*PI()/4*(F45^2-E45^2))/10^12</f>
        <v>72.9709578838818</v>
      </c>
      <c r="AV45" s="13" t="n">
        <f aca="false">0.183*(-E45+(E45^2+4*Paramètres!$B$7/PI()/Paramètres!$B$8*(AW45^2-E45^2))^0.5)</f>
        <v>-8.91164701972675E-005</v>
      </c>
      <c r="AW45" s="85" t="n">
        <f aca="false">(R45/PI()/Paramètres!$B$7)^0.5/A45/D45*10^6</f>
        <v>1.04956345935249</v>
      </c>
      <c r="AX45" s="12" t="e">
        <f aca="false">Q45*VLOOKUP(H45,Paramètres!$B$15:$C$18,2,0)*Paramètres!$B$9</f>
        <v>#N/A</v>
      </c>
      <c r="AY45" s="13" t="e">
        <f aca="false">(AX45/PI()/Paramètres!$B$7)^0.5/A45/D45*10^6</f>
        <v>#N/A</v>
      </c>
      <c r="AZ45" s="12" t="n">
        <f aca="false">(IF(F45&gt;0,(F45*F45 -E45*E45)/Paramètres!$B$7*Paramètres!$B$8,0)+E45*E45)*D45*G45</f>
        <v>3049.515</v>
      </c>
      <c r="BA45" s="80" t="n">
        <f aca="false">-1+AZ45/AZ44</f>
        <v>-0.111959009662258</v>
      </c>
      <c r="BB45" s="80" t="n">
        <f aca="false">IF(F45&gt;0,"",0.234*Paramètres!$B$12*10^9*IF(F45&gt;0,E45,E45)^2/Paramètres!$B$7/A45^2/D45^4*10^6)</f>
        <v>0.000301296291477824</v>
      </c>
      <c r="BC45" s="11" t="n">
        <v>2</v>
      </c>
      <c r="BD45" s="80" t="n">
        <f aca="false">BC45*SQRT(1+L45*BC45^2)-BC45</f>
        <v>0.000794093209870006</v>
      </c>
      <c r="BE45" s="11" t="str">
        <f aca="false">IF(F45&gt;0,PI()^2*Paramètres!$B$12*10^9/8/O45*(E45^4+E45^2*F45^2)*10^-12/D45^2/10^-6,"-")</f>
        <v>-</v>
      </c>
      <c r="BF45" s="11" t="n">
        <f aca="false">IF(ISBLANK(D45),"-",PI()^3*E45^4*Paramètres!$B$12*10^9/64/O45/(D45/1000)^2*10^-12)</f>
        <v>0.000198562713969113</v>
      </c>
      <c r="BG45" s="90" t="n">
        <f aca="false">(Paramètres!$B$12*10^9)^0.5/Paramètres!$B$7/2/D45*1000</f>
        <v>31.0488208329224</v>
      </c>
    </row>
    <row r="46" customFormat="false" ht="12.8" hidden="false" customHeight="false" outlineLevel="0" collapsed="false">
      <c r="A46" s="79" t="n">
        <f aca="false">IF(ISBLANK(D46),"-",IF(AND($A$6,$A$4/2&lt;AD46),AG46,AD46))</f>
        <v>184.997211355817</v>
      </c>
      <c r="B46" s="79" t="str">
        <f aca="false">IF(ISBLANK(D46),"",VLOOKUP(MOD(C46-Paramètres!$B$54,12)+1,Paramètres!$B$40:$C$52,2)&amp;" "&amp;(TRUNC((C46-Paramètres!$B$54+120)/12)-10+1))</f>
        <v>Fa# 2</v>
      </c>
      <c r="C46" s="11" t="n">
        <f aca="false">IF(ISBLANK(D46),"",C45+1)</f>
        <v>34</v>
      </c>
      <c r="D46" s="25" t="n">
        <v>895</v>
      </c>
      <c r="E46" s="6" t="n">
        <v>1.05</v>
      </c>
      <c r="F46" s="6"/>
      <c r="G46" s="25" t="n">
        <v>3</v>
      </c>
      <c r="H46" s="25" t="s">
        <v>75</v>
      </c>
      <c r="I46" s="80" t="n">
        <f aca="false">IF(ISBLANK(D46),"",IF(F46&gt;0,AU46/AT46,AM46))</f>
        <v>0.582210156764718</v>
      </c>
      <c r="J46" s="81" t="str">
        <f aca="false">IF(ISBLANK(D46),"",IF(AQ46,"","]"&amp;AO46&amp;" -- "&amp;AP46&amp;"["))</f>
        <v/>
      </c>
      <c r="K46" s="80" t="n">
        <f aca="false">IF(ISBLANK(D46),"",BA46)</f>
        <v>-0.0292841648590021</v>
      </c>
      <c r="L46" s="82" t="n">
        <f aca="false">IF(ISBLANK(D46),"",IF(F46&gt;0,BF46,BF46))</f>
        <v>0.000199231303851613</v>
      </c>
      <c r="M46" s="80" t="n">
        <f aca="false">IF(ISBLANK(D46),"",IF(F46&gt;0,"-",N46/(2^(1/12)-1)))</f>
        <v>0.00502575520156568</v>
      </c>
      <c r="N46" s="83" t="n">
        <f aca="false">IF(ISBLANK(D46),"",IF(F46&gt;0,"-",1.5*L46))</f>
        <v>0.000298846955777419</v>
      </c>
      <c r="O46" s="12" t="n">
        <f aca="false">IF(ISBLANK(D46),"",IF(F46&gt;0,AU46,AK46))</f>
        <v>745.374553198031</v>
      </c>
      <c r="P46" s="12" t="n">
        <f aca="false">IF(ISBLANK(D46),"",IF(F46&gt;0,AU46*G46,AL46))</f>
        <v>2236.12365959409</v>
      </c>
      <c r="Q46" s="84" t="n">
        <v>0.55</v>
      </c>
      <c r="R46" s="12" t="n">
        <f aca="false">IF(ISBLANK(D46),"",AT46*Q46)</f>
        <v>704.1375</v>
      </c>
      <c r="S46" s="13" t="n">
        <f aca="false">IF(ISBLANK(D46),"",AJ46)</f>
        <v>1.01708413510496</v>
      </c>
      <c r="T46" s="85" t="str">
        <f aca="false">IF(ISBLANK(F46),"",ROUND(S46*10*G46,0)/10/G46)</f>
        <v/>
      </c>
      <c r="U46" s="86" t="str">
        <f aca="false">IF(F46&gt;0,(AJ46-E46)/2,"")</f>
        <v/>
      </c>
      <c r="V46" s="86" t="str">
        <f aca="false">IF(F46&gt;0,AN46,"")</f>
        <v/>
      </c>
      <c r="W46" s="87" t="str">
        <f aca="false">IF(F46&gt;0,IF(U46&lt;Paramètres!$B$5,"!!!",""),"")</f>
        <v/>
      </c>
      <c r="X46" s="88" t="str">
        <f aca="false">IF(U46&lt;&gt;"",IF(U46/3&gt;=Paramètres!$B$5,(S46-E46)/2/3,""),"")</f>
        <v/>
      </c>
      <c r="Y46" s="88" t="str">
        <f aca="false">IF(U46&lt;&gt;"",IF(U46/3&gt;=Paramètres!$B$5,AV46,""),"")</f>
        <v/>
      </c>
      <c r="Z46" s="88" t="str">
        <f aca="false">IF(X46&lt;&gt;"",Y46*2,"")</f>
        <v/>
      </c>
      <c r="AB46" s="1"/>
      <c r="AC46" s="79" t="str">
        <f aca="false">INDEX('Charge de rupture par diamètre'!$C$1:$AC$1,AR46)</f>
        <v>Stephen Paulello France</v>
      </c>
      <c r="AD46" s="13" t="n">
        <f aca="false">IF(ISBLANK(D46),"-",$A$4/16 * 2^((C46-1)/12))</f>
        <v>184.997211355817</v>
      </c>
      <c r="AE46" s="13" t="n">
        <f aca="false">AF46/(AF$9*SQRT(1+$L46*AF$9^2))</f>
        <v>184.91095664952</v>
      </c>
      <c r="AF46" s="13" t="n">
        <f aca="false">AG58</f>
        <v>369.969244155925</v>
      </c>
      <c r="AG46" s="13" t="n">
        <f aca="false">$AE46*AG$9*SQRT(1+$G46*AG$9^2)</f>
        <v>369.821913299039</v>
      </c>
      <c r="AH46" s="19" t="n">
        <f aca="false">IF(AND(C46&gt;12,F34="",AD46&gt;$A$4),AH34*2*(1+N34),IF(AD46&gt;=$A$4/2,AD46,AD46))</f>
        <v>184.997211355817</v>
      </c>
      <c r="AI46" s="19" t="n">
        <f aca="false">IF(AND(C46&gt;12,F34="",AD46&gt;$A$4),AH34*2*(1+N34),IF(AD46&gt;=$A$4/2,AD46,AH58/2/(1+N46)))</f>
        <v>184.941942019449</v>
      </c>
      <c r="AJ46" s="85" t="n">
        <f aca="false">IF(Q46&gt;0,((R46*10^12/PI()/A46^2/D46^2-Paramètres!$B$7*E46^2)*4/PI()/Paramètres!$B$8+E46^2)^0.5,"")</f>
        <v>1.01708413510496</v>
      </c>
      <c r="AK46" s="12" t="n">
        <f aca="false">PI()*Paramètres!$B$7*(E46*A46*D46)^2/10^12</f>
        <v>745.374553198031</v>
      </c>
      <c r="AL46" s="12" t="n">
        <f aca="false">AK46*G46</f>
        <v>2236.12365959409</v>
      </c>
      <c r="AM46" s="80" t="n">
        <f aca="false">AK46/AT46</f>
        <v>0.582210156764718</v>
      </c>
      <c r="AN46" s="85" t="n">
        <f aca="false">(-E46+0.1*Paramètres!$B$7/E46/Paramètres!$B$8/PI()*(AW46^2-E46^2)+(E46^2+3.8*Paramètres!$B$7/Paramètres!$B$8/PI()*(AW46^2-E46^2))^0.5)/2</f>
        <v>-0.0164324048711364</v>
      </c>
      <c r="AO46" s="85" t="n">
        <f aca="false">VLOOKUP(C46,Paramètres!$C$30:$F$37,2,1)</f>
        <v>0.5</v>
      </c>
      <c r="AP46" s="85" t="n">
        <f aca="false">VLOOKUP(C46,Paramètres!$C$30:$F$37,4,1)</f>
        <v>0.65</v>
      </c>
      <c r="AQ46" s="11" t="b">
        <f aca="false">AND(I46&gt;=AO46,I46&lt;=AP46)</f>
        <v>1</v>
      </c>
      <c r="AR46" s="12" t="n">
        <f aca="false">HLOOKUP(H46,'Charge de rupture par diamètre'!$D$16:$AC$17,2,0)</f>
        <v>4</v>
      </c>
      <c r="AS46" s="12" t="n">
        <f aca="false">VLOOKUP(E46,'Charge de rupture par diamètre'!$C$16:$AC$53,AR46,1)</f>
        <v>1707</v>
      </c>
      <c r="AT46" s="12" t="n">
        <f aca="false">AS46*Paramètres!$B$9</f>
        <v>1280.25</v>
      </c>
      <c r="AU46" s="79" t="n">
        <f aca="false">PI()*A46^2*D46^2*(Paramètres!$B$7*E46^2+Paramètres!$B$8*PI()/4*(F46^2-E46^2))/10^12</f>
        <v>77.1802074758211</v>
      </c>
      <c r="AV46" s="13" t="n">
        <f aca="false">0.183*(-E46+(E46^2+4*Paramètres!$B$7/PI()/Paramètres!$B$8*(AW46^2-E46^2))^0.5)</f>
        <v>-0.00602360327579221</v>
      </c>
      <c r="AW46" s="85" t="n">
        <f aca="false">(R46/PI()/Paramètres!$B$7)^0.5/A46/D46*10^6</f>
        <v>1.02054170020648</v>
      </c>
      <c r="AX46" s="12" t="e">
        <f aca="false">Q46*VLOOKUP(H46,Paramètres!$B$15:$C$18,2,0)*Paramètres!$B$9</f>
        <v>#N/A</v>
      </c>
      <c r="AY46" s="13" t="e">
        <f aca="false">(AX46/PI()/Paramètres!$B$7)^0.5/A46/D46*10^6</f>
        <v>#N/A</v>
      </c>
      <c r="AZ46" s="12" t="n">
        <f aca="false">(IF(F46&gt;0,(F46*F46 -E46*E46)/Paramètres!$B$7*Paramètres!$B$8,0)+E46*E46)*D46*G46</f>
        <v>2960.2125</v>
      </c>
      <c r="BA46" s="80" t="n">
        <f aca="false">-1+AZ46/AZ45</f>
        <v>-0.0292841648590021</v>
      </c>
      <c r="BB46" s="80" t="n">
        <f aca="false">IF(F46&gt;0,"",0.234*Paramètres!$B$12*10^9*IF(F46&gt;0,E46,E46)^2/Paramètres!$B$7/A46^2/D46^4*10^6)</f>
        <v>0.000302310800436179</v>
      </c>
      <c r="BC46" s="11" t="n">
        <v>2</v>
      </c>
      <c r="BD46" s="80" t="n">
        <f aca="false">BC46*SQRT(1+L46*BC46^2)-BC46</f>
        <v>0.000796766506190316</v>
      </c>
      <c r="BE46" s="11" t="str">
        <f aca="false">IF(F46&gt;0,PI()^2*Paramètres!$B$12*10^9/8/O46*(E46^4+E46^2*F46^2)*10^-12/D46^2/10^-6,"-")</f>
        <v>-</v>
      </c>
      <c r="BF46" s="11" t="n">
        <f aca="false">IF(ISBLANK(D46),"-",PI()^3*E46^4*Paramètres!$B$12*10^9/64/O46/(D46/1000)^2*10^-12)</f>
        <v>0.000199231303851613</v>
      </c>
      <c r="BG46" s="90" t="n">
        <f aca="false">(Paramètres!$B$12*10^9)^0.5/Paramètres!$B$7/2/D46*1000</f>
        <v>31.9854891708988</v>
      </c>
    </row>
    <row r="47" customFormat="false" ht="12.8" hidden="false" customHeight="false" outlineLevel="0" collapsed="false">
      <c r="A47" s="79" t="n">
        <f aca="false">IF(ISBLANK(D47),"-",IF(AND($A$6,$A$4/2&lt;AD47),AG47,AD47))</f>
        <v>195.997717990875</v>
      </c>
      <c r="B47" s="79" t="str">
        <f aca="false">IF(ISBLANK(D47),"",VLOOKUP(MOD(C47-Paramètres!$B$54,12)+1,Paramètres!$B$40:$C$52,2)&amp;" "&amp;(TRUNC((C47-Paramètres!$B$54+120)/12)-10+1))</f>
        <v>Sol 2</v>
      </c>
      <c r="C47" s="11" t="n">
        <f aca="false">IF(ISBLANK(D47),"",C46+1)</f>
        <v>35</v>
      </c>
      <c r="D47" s="25" t="n">
        <v>867</v>
      </c>
      <c r="E47" s="6" t="n">
        <v>1</v>
      </c>
      <c r="F47" s="6"/>
      <c r="G47" s="25" t="n">
        <v>3</v>
      </c>
      <c r="H47" s="25" t="s">
        <v>75</v>
      </c>
      <c r="I47" s="80" t="n">
        <f aca="false">IF(ISBLANK(D47),"",IF(F47&gt;0,AU47/AT47,AM47))</f>
        <v>0.603628543867666</v>
      </c>
      <c r="J47" s="81" t="str">
        <f aca="false">IF(ISBLANK(D47),"",IF(AQ47,"","]"&amp;AO47&amp;" -- "&amp;AP47&amp;"["))</f>
        <v/>
      </c>
      <c r="K47" s="80" t="n">
        <f aca="false">IF(ISBLANK(D47),"",BA47)</f>
        <v>-0.121346862767453</v>
      </c>
      <c r="L47" s="82" t="n">
        <f aca="false">IF(ISBLANK(D47),"",IF(F47&gt;0,BF47,BF47))</f>
        <v>0.000182819730518569</v>
      </c>
      <c r="M47" s="80" t="n">
        <f aca="false">IF(ISBLANK(D47),"",IF(F47&gt;0,"-",N47/(2^(1/12)-1)))</f>
        <v>0.00461176127365435</v>
      </c>
      <c r="N47" s="83" t="n">
        <f aca="false">IF(ISBLANK(D47),"",IF(F47&gt;0,"-",1.5*L47))</f>
        <v>0.000274229595777853</v>
      </c>
      <c r="O47" s="12" t="n">
        <f aca="false">IF(ISBLANK(D47),"",IF(F47&gt;0,AU47,AK47))</f>
        <v>712.130774627879</v>
      </c>
      <c r="P47" s="12" t="n">
        <f aca="false">IF(ISBLANK(D47),"",IF(F47&gt;0,AU47*G47,AL47))</f>
        <v>2136.39232388364</v>
      </c>
      <c r="Q47" s="84" t="n">
        <v>0.55</v>
      </c>
      <c r="R47" s="12" t="n">
        <f aca="false">IF(ISBLANK(D47),"",AT47*Q47)</f>
        <v>648.8625</v>
      </c>
      <c r="S47" s="13" t="n">
        <f aca="false">IF(ISBLANK(D47),"",AJ47)</f>
        <v>0.949154594324301</v>
      </c>
      <c r="T47" s="85" t="str">
        <f aca="false">IF(ISBLANK(F47),"",ROUND(S47*10*G47,0)/10/G47)</f>
        <v/>
      </c>
      <c r="U47" s="86" t="str">
        <f aca="false">IF(F47&gt;0,(AJ47-E47)/2,"")</f>
        <v/>
      </c>
      <c r="V47" s="86" t="str">
        <f aca="false">IF(F47&gt;0,AN47,"")</f>
        <v/>
      </c>
      <c r="W47" s="87" t="str">
        <f aca="false">IF(F47&gt;0,IF(U47&lt;Paramètres!$B$5,"!!!",""),"")</f>
        <v/>
      </c>
      <c r="X47" s="88" t="str">
        <f aca="false">IF(U47&lt;&gt;"",IF(U47/3&gt;=Paramètres!$B$5,(S47-E47)/2/3,""),"")</f>
        <v/>
      </c>
      <c r="Y47" s="88" t="str">
        <f aca="false">IF(U47&lt;&gt;"",IF(U47/3&gt;=Paramètres!$B$5,AV47,""),"")</f>
        <v/>
      </c>
      <c r="Z47" s="88" t="str">
        <f aca="false">IF(X47&lt;&gt;"",Y47*2,"")</f>
        <v/>
      </c>
      <c r="AB47" s="1"/>
      <c r="AC47" s="79" t="str">
        <f aca="false">INDEX('Charge de rupture par diamètre'!$C$1:$AC$1,AR47)</f>
        <v>Stephen Paulello France</v>
      </c>
      <c r="AD47" s="13" t="n">
        <f aca="false">IF(ISBLANK(D47),"-",$A$4/16 * 2^((C47-1)/12))</f>
        <v>195.997717990875</v>
      </c>
      <c r="AE47" s="13" t="n">
        <f aca="false">AF47/(AF$9*SQRT(1+$L47*AF$9^2))</f>
        <v>195.917204003809</v>
      </c>
      <c r="AF47" s="13" t="n">
        <f aca="false">AG59</f>
        <v>391.977651946346</v>
      </c>
      <c r="AG47" s="13" t="n">
        <f aca="false">$AE47*AG$9*SQRT(1+$G47*AG$9^2)</f>
        <v>391.834408007619</v>
      </c>
      <c r="AH47" s="19" t="n">
        <f aca="false">IF(AND(C47&gt;12,F35="",AD47&gt;$A$4),AH35*2*(1+N35),IF(AD47&gt;=$A$4/2,AD47,AD47))</f>
        <v>195.997717990875</v>
      </c>
      <c r="AI47" s="19" t="n">
        <f aca="false">IF(AND(C47&gt;12,F35="",AD47&gt;$A$4),AH35*2*(1+N35),IF(AD47&gt;=$A$4/2,AD47,AH59/2/(1+N47)))</f>
        <v>195.943984351251</v>
      </c>
      <c r="AJ47" s="85" t="n">
        <f aca="false">IF(Q47&gt;0,((R47*10^12/PI()/A47^2/D47^2-Paramètres!$B$7*E47^2)*4/PI()/Paramètres!$B$8+E47^2)^0.5,"")</f>
        <v>0.949154594324301</v>
      </c>
      <c r="AK47" s="12" t="n">
        <f aca="false">PI()*Paramètres!$B$7*(E47*A47*D47)^2/10^12</f>
        <v>712.130774627879</v>
      </c>
      <c r="AL47" s="12" t="n">
        <f aca="false">AK47*G47</f>
        <v>2136.39232388364</v>
      </c>
      <c r="AM47" s="80" t="n">
        <f aca="false">AK47/AT47</f>
        <v>0.603628543867666</v>
      </c>
      <c r="AN47" s="85" t="n">
        <f aca="false">(-E47+0.1*Paramètres!$B$7/E47/Paramètres!$B$8/PI()*(AW47^2-E47^2)+(E47^2+3.8*Paramètres!$B$7/Paramètres!$B$8/PI()*(AW47^2-E47^2))^0.5)/2</f>
        <v>-0.0253581301677218</v>
      </c>
      <c r="AO47" s="85" t="n">
        <f aca="false">VLOOKUP(C47,Paramètres!$C$30:$F$37,2,1)</f>
        <v>0.5</v>
      </c>
      <c r="AP47" s="85" t="n">
        <f aca="false">VLOOKUP(C47,Paramètres!$C$30:$F$37,4,1)</f>
        <v>0.65</v>
      </c>
      <c r="AQ47" s="11" t="b">
        <f aca="false">AND(I47&gt;=AO47,I47&lt;=AP47)</f>
        <v>1</v>
      </c>
      <c r="AR47" s="12" t="n">
        <f aca="false">HLOOKUP(H47,'Charge de rupture par diamètre'!$D$16:$AC$17,2,0)</f>
        <v>4</v>
      </c>
      <c r="AS47" s="12" t="n">
        <f aca="false">VLOOKUP(E47,'Charge de rupture par diamètre'!$C$16:$AC$53,AR47,1)</f>
        <v>1573</v>
      </c>
      <c r="AT47" s="12" t="n">
        <f aca="false">AS47*Paramètres!$B$9</f>
        <v>1179.75</v>
      </c>
      <c r="AU47" s="79" t="n">
        <f aca="false">PI()*A47^2*D47^2*(Paramètres!$B$7*E47^2+Paramètres!$B$8*PI()/4*(F47^2-E47^2))/10^12</f>
        <v>73.7379626120595</v>
      </c>
      <c r="AV47" s="13" t="n">
        <f aca="false">0.183*(-E47+(E47^2+4*Paramètres!$B$7/PI()/Paramètres!$B$8*(AW47^2-E47^2))^0.5)</f>
        <v>-0.00930470923865287</v>
      </c>
      <c r="AW47" s="85" t="n">
        <f aca="false">(R47/PI()/Paramètres!$B$7)^0.5/A47/D47*10^6</f>
        <v>0.954545117755245</v>
      </c>
      <c r="AX47" s="12" t="e">
        <f aca="false">Q47*VLOOKUP(H47,Paramètres!$B$15:$C$18,2,0)*Paramètres!$B$9</f>
        <v>#N/A</v>
      </c>
      <c r="AY47" s="13" t="e">
        <f aca="false">(AX47/PI()/Paramètres!$B$7)^0.5/A47/D47*10^6</f>
        <v>#N/A</v>
      </c>
      <c r="AZ47" s="12" t="n">
        <f aca="false">(IF(F47&gt;0,(F47*F47 -E47*E47)/Paramètres!$B$7*Paramètres!$B$8,0)+E47*E47)*D47*G47</f>
        <v>2601</v>
      </c>
      <c r="BA47" s="80" t="n">
        <f aca="false">-1+AZ47/AZ46</f>
        <v>-0.121346862767453</v>
      </c>
      <c r="BB47" s="80" t="n">
        <f aca="false">IF(F47&gt;0,"",0.234*Paramètres!$B$12*10^9*IF(F47&gt;0,E47,E47)^2/Paramètres!$B$7/A47^2/D47^4*10^6)</f>
        <v>0.000277408108063975</v>
      </c>
      <c r="BC47" s="11" t="n">
        <v>2</v>
      </c>
      <c r="BD47" s="80" t="n">
        <f aca="false">BC47*SQRT(1+L47*BC47^2)-BC47</f>
        <v>0.000731145278719758</v>
      </c>
      <c r="BE47" s="11" t="str">
        <f aca="false">IF(F47&gt;0,PI()^2*Paramètres!$B$12*10^9/8/O47*(E47^4+E47^2*F47^2)*10^-12/D47^2/10^-6,"-")</f>
        <v>-</v>
      </c>
      <c r="BF47" s="11" t="n">
        <f aca="false">IF(ISBLANK(D47),"-",PI()^3*E47^4*Paramètres!$B$12*10^9/64/O47/(D47/1000)^2*10^-12)</f>
        <v>0.000182819730518569</v>
      </c>
      <c r="BG47" s="90" t="n">
        <f aca="false">(Paramètres!$B$12*10^9)^0.5/Paramètres!$B$7/2/D47*1000</f>
        <v>33.0184692133269</v>
      </c>
    </row>
    <row r="48" customFormat="false" ht="12.8" hidden="false" customHeight="false" outlineLevel="0" collapsed="false">
      <c r="A48" s="79" t="n">
        <f aca="false">IF(ISBLANK(D48),"-",IF(AND($A$6,$A$4/2&lt;AD48),AG48,AD48))</f>
        <v>207.652348789973</v>
      </c>
      <c r="B48" s="79" t="str">
        <f aca="false">IF(ISBLANK(D48),"",VLOOKUP(MOD(C48-Paramètres!$B$54,12)+1,Paramètres!$B$40:$C$52,2)&amp;" "&amp;(TRUNC((C48-Paramètres!$B$54+120)/12)-10+1))</f>
        <v>Sol# 2</v>
      </c>
      <c r="C48" s="11" t="n">
        <f aca="false">IF(ISBLANK(D48),"",C47+1)</f>
        <v>36</v>
      </c>
      <c r="D48" s="25" t="n">
        <v>831</v>
      </c>
      <c r="E48" s="6" t="n">
        <v>1</v>
      </c>
      <c r="F48" s="6"/>
      <c r="G48" s="25" t="n">
        <v>3</v>
      </c>
      <c r="H48" s="25" t="s">
        <v>75</v>
      </c>
      <c r="I48" s="80" t="n">
        <f aca="false">IF(ISBLANK(D48),"",IF(F48&gt;0,AU48/AT48,AM48))</f>
        <v>0.622451168692954</v>
      </c>
      <c r="J48" s="81" t="str">
        <f aca="false">IF(ISBLANK(D48),"",IF(AQ48,"","]"&amp;AO48&amp;" -- "&amp;AP48&amp;"["))</f>
        <v/>
      </c>
      <c r="K48" s="80" t="n">
        <f aca="false">IF(ISBLANK(D48),"",BA48)</f>
        <v>-0.0415224913494809</v>
      </c>
      <c r="L48" s="82" t="n">
        <f aca="false">IF(ISBLANK(D48),"",IF(F48&gt;0,BF48,BF48))</f>
        <v>0.000192985061779987</v>
      </c>
      <c r="M48" s="80" t="n">
        <f aca="false">IF(ISBLANK(D48),"",IF(F48&gt;0,"-",N48/(2^(1/12)-1)))</f>
        <v>0.00486818918169415</v>
      </c>
      <c r="N48" s="83" t="n">
        <f aca="false">IF(ISBLANK(D48),"",IF(F48&gt;0,"-",1.5*L48))</f>
        <v>0.00028947759266998</v>
      </c>
      <c r="O48" s="12" t="n">
        <f aca="false">IF(ISBLANK(D48),"",IF(F48&gt;0,AU48,AK48))</f>
        <v>734.336766265513</v>
      </c>
      <c r="P48" s="12" t="n">
        <f aca="false">IF(ISBLANK(D48),"",IF(F48&gt;0,AU48*G48,AL48))</f>
        <v>2203.01029879654</v>
      </c>
      <c r="Q48" s="84" t="n">
        <v>0.55</v>
      </c>
      <c r="R48" s="12" t="n">
        <f aca="false">IF(ISBLANK(D48),"",AT48*Q48)</f>
        <v>648.8625</v>
      </c>
      <c r="S48" s="13" t="n">
        <f aca="false">IF(ISBLANK(D48),"",AJ48)</f>
        <v>0.93282313071707</v>
      </c>
      <c r="T48" s="85" t="str">
        <f aca="false">IF(ISBLANK(F48),"",ROUND(S48*10*G48,0)/10/G48)</f>
        <v/>
      </c>
      <c r="U48" s="86" t="str">
        <f aca="false">IF(F48&gt;0,(AJ48-E48)/2,"")</f>
        <v/>
      </c>
      <c r="V48" s="86" t="str">
        <f aca="false">IF(F48&gt;0,AN48,"")</f>
        <v/>
      </c>
      <c r="W48" s="87" t="str">
        <f aca="false">IF(F48&gt;0,IF(U48&lt;Paramètres!$B$5,"!!!",""),"")</f>
        <v/>
      </c>
      <c r="X48" s="88" t="str">
        <f aca="false">IF(U48&lt;&gt;"",IF(U48/3&gt;=Paramètres!$B$5,(S48-E48)/2/3,""),"")</f>
        <v/>
      </c>
      <c r="Y48" s="88" t="str">
        <f aca="false">IF(U48&lt;&gt;"",IF(U48/3&gt;=Paramètres!$B$5,AV48,""),"")</f>
        <v/>
      </c>
      <c r="Z48" s="88" t="str">
        <f aca="false">IF(X48&lt;&gt;"",Y48*2,"")</f>
        <v/>
      </c>
      <c r="AB48" s="1"/>
      <c r="AC48" s="79" t="str">
        <f aca="false">INDEX('Charge de rupture par diamètre'!$C$1:$AC$1,AR48)</f>
        <v>Stephen Paulello France</v>
      </c>
      <c r="AD48" s="13" t="n">
        <f aca="false">IF(ISBLANK(D48),"-",$A$4/16 * 2^((C48-1)/12))</f>
        <v>207.652348789973</v>
      </c>
      <c r="AE48" s="13" t="n">
        <f aca="false">AF48/(AF$9*SQRT(1+$L48*AF$9^2))</f>
        <v>207.567538940608</v>
      </c>
      <c r="AF48" s="13" t="n">
        <f aca="false">AG60</f>
        <v>415.295276708504</v>
      </c>
      <c r="AG48" s="13" t="n">
        <f aca="false">$AE48*AG$9*SQRT(1+$G48*AG$9^2)</f>
        <v>415.135077881216</v>
      </c>
      <c r="AH48" s="19" t="n">
        <f aca="false">IF(AND(C48&gt;12,F36="",AD48&gt;$A$4),AH36*2*(1+N36),IF(AD48&gt;=$A$4/2,AD48,AD48))</f>
        <v>207.652348789973</v>
      </c>
      <c r="AI48" s="19" t="n">
        <f aca="false">IF(AND(C48&gt;12,F36="",AD48&gt;$A$4),AH36*2*(1+N36),IF(AD48&gt;=$A$4/2,AD48,AH60/2/(1+N48)))</f>
        <v>207.592255483598</v>
      </c>
      <c r="AJ48" s="85" t="n">
        <f aca="false">IF(Q48&gt;0,((R48*10^12/PI()/A48^2/D48^2-Paramètres!$B$7*E48^2)*4/PI()/Paramètres!$B$8+E48^2)^0.5,"")</f>
        <v>0.93282313071707</v>
      </c>
      <c r="AK48" s="12" t="n">
        <f aca="false">PI()*Paramètres!$B$7*(E48*A48*D48)^2/10^12</f>
        <v>734.336766265513</v>
      </c>
      <c r="AL48" s="12" t="n">
        <f aca="false">AK48*G48</f>
        <v>2203.01029879654</v>
      </c>
      <c r="AM48" s="80" t="n">
        <f aca="false">AK48/AT48</f>
        <v>0.622451168692954</v>
      </c>
      <c r="AN48" s="85" t="n">
        <f aca="false">(-E48+0.1*Paramètres!$B$7/E48/Paramètres!$B$8/PI()*(AW48^2-E48^2)+(E48^2+3.8*Paramètres!$B$7/Paramètres!$B$8/PI()*(AW48^2-E48^2))^0.5)/2</f>
        <v>-0.0334747872490514</v>
      </c>
      <c r="AO48" s="85" t="n">
        <f aca="false">VLOOKUP(C48,Paramètres!$C$30:$F$37,2,1)</f>
        <v>0.5</v>
      </c>
      <c r="AP48" s="85" t="n">
        <f aca="false">VLOOKUP(C48,Paramètres!$C$30:$F$37,4,1)</f>
        <v>0.65</v>
      </c>
      <c r="AQ48" s="11" t="b">
        <f aca="false">AND(I48&gt;=AO48,I48&lt;=AP48)</f>
        <v>1</v>
      </c>
      <c r="AR48" s="12" t="n">
        <f aca="false">HLOOKUP(H48,'Charge de rupture par diamètre'!$D$16:$AC$17,2,0)</f>
        <v>4</v>
      </c>
      <c r="AS48" s="12" t="n">
        <f aca="false">VLOOKUP(E48,'Charge de rupture par diamètre'!$C$16:$AC$53,AR48,1)</f>
        <v>1573</v>
      </c>
      <c r="AT48" s="12" t="n">
        <f aca="false">AS48*Paramètres!$B$9</f>
        <v>1179.75</v>
      </c>
      <c r="AU48" s="79" t="n">
        <f aca="false">PI()*A48^2*D48^2*(Paramètres!$B$7*E48^2+Paramètres!$B$8*PI()/4*(F48^2-E48^2))/10^12</f>
        <v>76.0372939139473</v>
      </c>
      <c r="AV48" s="13" t="n">
        <f aca="false">0.183*(-E48+(E48^2+4*Paramètres!$B$7/PI()/Paramètres!$B$8*(AW48^2-E48^2))^0.5)</f>
        <v>-0.0122933670787763</v>
      </c>
      <c r="AW48" s="85" t="n">
        <f aca="false">(R48/PI()/Paramètres!$B$7)^0.5/A48/D48*10^6</f>
        <v>0.940001835007493</v>
      </c>
      <c r="AX48" s="12" t="e">
        <f aca="false">Q48*VLOOKUP(H48,Paramètres!$B$15:$C$18,2,0)*Paramètres!$B$9</f>
        <v>#N/A</v>
      </c>
      <c r="AY48" s="13" t="e">
        <f aca="false">(AX48/PI()/Paramètres!$B$7)^0.5/A48/D48*10^6</f>
        <v>#N/A</v>
      </c>
      <c r="AZ48" s="12" t="n">
        <f aca="false">(IF(F48&gt;0,(F48*F48 -E48*E48)/Paramètres!$B$7*Paramètres!$B$8,0)+E48*E48)*D48*G48</f>
        <v>2493</v>
      </c>
      <c r="BA48" s="80" t="n">
        <f aca="false">-1+AZ48/AZ47</f>
        <v>-0.0415224913494809</v>
      </c>
      <c r="BB48" s="80" t="n">
        <f aca="false">IF(F48&gt;0,"",0.234*Paramètres!$B$12*10^9*IF(F48&gt;0,E48,E48)^2/Paramètres!$B$7/A48^2/D48^4*10^6)</f>
        <v>0.000292832839875333</v>
      </c>
      <c r="BC48" s="11" t="n">
        <v>2</v>
      </c>
      <c r="BD48" s="80" t="n">
        <f aca="false">BC48*SQRT(1+L48*BC48^2)-BC48</f>
        <v>0.000771791331655169</v>
      </c>
      <c r="BE48" s="11" t="str">
        <f aca="false">IF(F48&gt;0,PI()^2*Paramètres!$B$12*10^9/8/O48*(E48^4+E48^2*F48^2)*10^-12/D48^2/10^-6,"-")</f>
        <v>-</v>
      </c>
      <c r="BF48" s="11" t="n">
        <f aca="false">IF(ISBLANK(D48),"-",PI()^3*E48^4*Paramètres!$B$12*10^9/64/O48/(D48/1000)^2*10^-12)</f>
        <v>0.000192985061779987</v>
      </c>
      <c r="BG48" s="90" t="n">
        <f aca="false">(Paramètres!$B$12*10^9)^0.5/Paramètres!$B$7/2/D48*1000</f>
        <v>34.4488722117382</v>
      </c>
    </row>
    <row r="49" customFormat="false" ht="12.8" hidden="false" customHeight="false" outlineLevel="0" collapsed="false">
      <c r="A49" s="79" t="n">
        <f aca="false">IF(ISBLANK(D49),"-",IF(AND($A$6,$A$4/2&lt;AD49),AG49,AD49))</f>
        <v>220</v>
      </c>
      <c r="B49" s="79" t="str">
        <f aca="false">IF(ISBLANK(D49),"",VLOOKUP(MOD(C49-Paramètres!$B$54,12)+1,Paramètres!$B$40:$C$52,2)&amp;" "&amp;(TRUNC((C49-Paramètres!$B$54+120)/12)-10+1))</f>
        <v>La 2</v>
      </c>
      <c r="C49" s="11" t="n">
        <f aca="false">IF(ISBLANK(D49),"",C48+1)</f>
        <v>37</v>
      </c>
      <c r="D49" s="25" t="n">
        <v>799</v>
      </c>
      <c r="E49" s="6" t="n">
        <v>0.95</v>
      </c>
      <c r="F49" s="6"/>
      <c r="G49" s="25" t="n">
        <v>3</v>
      </c>
      <c r="H49" s="25" t="s">
        <v>73</v>
      </c>
      <c r="I49" s="80" t="n">
        <f aca="false">IF(ISBLANK(D49),"",IF(F49&gt;0,AU49/AT49,AM49))</f>
        <v>0.547104620542488</v>
      </c>
      <c r="J49" s="81" t="str">
        <f aca="false">IF(ISBLANK(D49),"",IF(AQ49,"","]"&amp;AO49&amp;" -- "&amp;AP49&amp;"["))</f>
        <v/>
      </c>
      <c r="K49" s="80" t="n">
        <f aca="false">IF(ISBLANK(D49),"",BA49)</f>
        <v>-0.132253309265945</v>
      </c>
      <c r="L49" s="82" t="n">
        <f aca="false">IF(ISBLANK(D49),"",IF(F49&gt;0,BF49,BF49))</f>
        <v>0.000181558345216259</v>
      </c>
      <c r="M49" s="80" t="n">
        <f aca="false">IF(ISBLANK(D49),"",IF(F49&gt;0,"-",N49/(2^(1/12)-1)))</f>
        <v>0.00457994190781322</v>
      </c>
      <c r="N49" s="83" t="n">
        <f aca="false">IF(ISBLANK(D49),"",IF(F49&gt;0,"-",1.5*L49))</f>
        <v>0.000272337517824388</v>
      </c>
      <c r="O49" s="12" t="n">
        <f aca="false">IF(ISBLANK(D49),"",IF(F49&gt;0,AU49,AK49))</f>
        <v>687.710508021907</v>
      </c>
      <c r="P49" s="12" t="n">
        <f aca="false">IF(ISBLANK(D49),"",IF(F49&gt;0,AU49*G49,AL49))</f>
        <v>2063.13152406572</v>
      </c>
      <c r="Q49" s="84" t="n">
        <v>0.55</v>
      </c>
      <c r="R49" s="12" t="n">
        <f aca="false">IF(ISBLANK(D49),"",AT49*Q49)</f>
        <v>691.35</v>
      </c>
      <c r="S49" s="13" t="n">
        <f aca="false">IF(ISBLANK(D49),"",AJ49)</f>
        <v>0.952800018723603</v>
      </c>
      <c r="T49" s="85" t="str">
        <f aca="false">IF(ISBLANK(F49),"",ROUND(S49*10*G49,0)/10/G49)</f>
        <v/>
      </c>
      <c r="U49" s="86" t="str">
        <f aca="false">IF(F49&gt;0,(AJ49-E49)/2,"")</f>
        <v/>
      </c>
      <c r="V49" s="86" t="str">
        <f aca="false">IF(F49&gt;0,AN49,"")</f>
        <v/>
      </c>
      <c r="W49" s="87" t="str">
        <f aca="false">IF(F49&gt;0,IF(U49&lt;Paramètres!$B$5,"!!!",""),"")</f>
        <v/>
      </c>
      <c r="X49" s="88" t="str">
        <f aca="false">IF(U49&lt;&gt;"",IF(U49/3&gt;=Paramètres!$B$5,(S49-E49)/2/3,""),"")</f>
        <v/>
      </c>
      <c r="Y49" s="88" t="str">
        <f aca="false">IF(U49&lt;&gt;"",IF(U49/3&gt;=Paramètres!$B$5,AV49,""),"")</f>
        <v/>
      </c>
      <c r="Z49" s="88" t="str">
        <f aca="false">IF(X49&lt;&gt;"",Y49*2,"")</f>
        <v/>
      </c>
      <c r="AB49" s="1"/>
      <c r="AC49" s="79" t="str">
        <f aca="false">INDEX('Charge de rupture par diamètre'!$C$1:$AC$1,AR49)</f>
        <v>Stephen Paulello France</v>
      </c>
      <c r="AD49" s="13" t="n">
        <f aca="false">IF(ISBLANK(D49),"-",$A$4/16 * 2^((C49-1)/12))</f>
        <v>220</v>
      </c>
      <c r="AE49" s="13" t="n">
        <f aca="false">AF49/(AF$9*SQRT(1+$L49*AF$9^2))</f>
        <v>219.92015781352</v>
      </c>
      <c r="AF49" s="13" t="n">
        <f aca="false">AG61</f>
        <v>440</v>
      </c>
      <c r="AG49" s="13" t="n">
        <f aca="false">$AE49*AG$9*SQRT(1+$L49*AG$9^2)</f>
        <v>219.940121077403</v>
      </c>
      <c r="AH49" s="19" t="n">
        <f aca="false">IF(AND(C49&gt;12,F37="",AD49&gt;$A$4),AH37*2*(1+N37),IF(AD49&gt;=$A$4/2,AD49,AD49))</f>
        <v>220</v>
      </c>
      <c r="AI49" s="19" t="n">
        <f aca="false">IF(AND(C49&gt;12,F37="",AD49&gt;$A$4),AH37*2*(1+N37),IF(AD49&gt;=$A$4/2,AD49,AH61/2/(1+N49)))</f>
        <v>220</v>
      </c>
      <c r="AJ49" s="85" t="n">
        <f aca="false">IF(Q49&gt;0,((R49*10^12/PI()/A49^2/D49^2-Paramètres!$B$7*E49^2)*4/PI()/Paramètres!$B$8+E49^2)^0.5,"")</f>
        <v>0.952800018723603</v>
      </c>
      <c r="AK49" s="12" t="n">
        <f aca="false">PI()*Paramètres!$B$7*(E49*A49*D49)^2/10^12</f>
        <v>687.710508021907</v>
      </c>
      <c r="AL49" s="12" t="n">
        <f aca="false">AK49*G49</f>
        <v>2063.13152406572</v>
      </c>
      <c r="AM49" s="80" t="n">
        <f aca="false">AK49/AT49</f>
        <v>0.547104620542488</v>
      </c>
      <c r="AN49" s="85" t="n">
        <f aca="false">(-E49+0.1*Paramètres!$B$7/E49/Paramètres!$B$8/PI()*(AW49^2-E49^2)+(E49^2+3.8*Paramètres!$B$7/Paramètres!$B$8/PI()*(AW49^2-E49^2))^0.5)/2</f>
        <v>0.00140021024873738</v>
      </c>
      <c r="AO49" s="85" t="n">
        <f aca="false">VLOOKUP(C49,Paramètres!$C$30:$F$37,2,1)</f>
        <v>0.5</v>
      </c>
      <c r="AP49" s="85" t="n">
        <f aca="false">VLOOKUP(C49,Paramètres!$C$30:$F$37,4,1)</f>
        <v>0.65</v>
      </c>
      <c r="AQ49" s="11" t="b">
        <f aca="false">AND(I49&gt;=AO49,I49&lt;=AP49)</f>
        <v>1</v>
      </c>
      <c r="AR49" s="12" t="n">
        <f aca="false">HLOOKUP(H49,'Charge de rupture par diamètre'!$D$16:$AC$17,2,0)</f>
        <v>3</v>
      </c>
      <c r="AS49" s="12" t="n">
        <f aca="false">VLOOKUP(E49,'Charge de rupture par diamètre'!$C$16:$AC$53,AR49,1)</f>
        <v>1676</v>
      </c>
      <c r="AT49" s="12" t="n">
        <f aca="false">AS49*Paramètres!$B$9</f>
        <v>1257</v>
      </c>
      <c r="AU49" s="79" t="n">
        <f aca="false">PI()*A49^2*D49^2*(Paramètres!$B$7*E49^2+Paramètres!$B$8*PI()/4*(F49^2-E49^2))/10^12</f>
        <v>71.2093530221866</v>
      </c>
      <c r="AV49" s="13" t="n">
        <f aca="false">0.183*(-E49+(E49^2+4*Paramètres!$B$7/PI()/Paramètres!$B$8*(AW49^2-E49^2))^0.5)</f>
        <v>0.000512403426419415</v>
      </c>
      <c r="AW49" s="85" t="n">
        <f aca="false">(R49/PI()/Paramètres!$B$7)^0.5/A49/D49*10^6</f>
        <v>0.952510471300876</v>
      </c>
      <c r="AX49" s="12" t="e">
        <f aca="false">Q49*VLOOKUP(H49,Paramètres!$B$15:$C$18,2,0)*Paramètres!$B$9</f>
        <v>#N/A</v>
      </c>
      <c r="AY49" s="13" t="e">
        <f aca="false">(AX49/PI()/Paramètres!$B$7)^0.5/A49/D49*10^6</f>
        <v>#N/A</v>
      </c>
      <c r="AZ49" s="12" t="n">
        <f aca="false">(IF(F49&gt;0,(F49*F49 -E49*E49)/Paramètres!$B$7*Paramètres!$B$8,0)+E49*E49)*D49*G49</f>
        <v>2163.2925</v>
      </c>
      <c r="BA49" s="80" t="n">
        <f aca="false">-1+AZ49/AZ48</f>
        <v>-0.132253309265945</v>
      </c>
      <c r="BB49" s="80" t="n">
        <f aca="false">IF(F49&gt;0,"",0.234*Paramètres!$B$12*10^9*IF(F49&gt;0,E49,E49)^2/Paramètres!$B$7/A49^2/D49^4*10^6)</f>
        <v>0.000275494099607334</v>
      </c>
      <c r="BC49" s="11" t="n">
        <v>2</v>
      </c>
      <c r="BD49" s="80" t="n">
        <f aca="false">BC49*SQRT(1+L49*BC49^2)-BC49</f>
        <v>0.000726101574990867</v>
      </c>
      <c r="BE49" s="11" t="str">
        <f aca="false">IF(F49&gt;0,PI()^2*Paramètres!$B$12*10^9/8/O49*(E49^4+E49^2*F49^2)*10^-12/D49^2/10^-6,"-")</f>
        <v>-</v>
      </c>
      <c r="BF49" s="11" t="n">
        <f aca="false">IF(ISBLANK(D49),"-",PI()^3*E49^4*Paramètres!$B$12*10^9/64/O49/(D49/1000)^2*10^-12)</f>
        <v>0.000181558345216259</v>
      </c>
      <c r="BG49" s="90" t="n">
        <f aca="false">(Paramètres!$B$12*10^9)^0.5/Paramètres!$B$7/2/D49*1000</f>
        <v>35.8285516995675</v>
      </c>
    </row>
    <row r="50" customFormat="false" ht="12.8" hidden="false" customHeight="false" outlineLevel="0" collapsed="false">
      <c r="A50" s="79" t="n">
        <f aca="false">IF(ISBLANK(D50),"-",IF(AND($A$6,$A$4/2&lt;AD50),AG50,AD50))</f>
        <v>233.023727216582</v>
      </c>
      <c r="B50" s="79" t="str">
        <f aca="false">IF(ISBLANK(D50),"",VLOOKUP(MOD(C50-Paramètres!$B$54,12)+1,Paramètres!$B$40:$C$52,2)&amp;" "&amp;(TRUNC((C50-Paramètres!$B$54+120)/12)-10+1))</f>
        <v>La# 2</v>
      </c>
      <c r="C50" s="11" t="n">
        <f aca="false">IF(ISBLANK(D50),"",C49+1)</f>
        <v>38</v>
      </c>
      <c r="D50" s="25" t="n">
        <v>764</v>
      </c>
      <c r="E50" s="6" t="n">
        <v>0.95</v>
      </c>
      <c r="F50" s="6"/>
      <c r="G50" s="25" t="n">
        <v>3</v>
      </c>
      <c r="H50" s="25" t="s">
        <v>73</v>
      </c>
      <c r="I50" s="80" t="n">
        <f aca="false">IF(ISBLANK(D50),"",IF(F50&gt;0,AU50/AT50,AM50))</f>
        <v>0.561201041743052</v>
      </c>
      <c r="J50" s="81" t="str">
        <f aca="false">IF(ISBLANK(D50),"",IF(AQ50,"","]"&amp;AO50&amp;" -- "&amp;AP50&amp;"["))</f>
        <v/>
      </c>
      <c r="K50" s="80" t="n">
        <f aca="false">IF(ISBLANK(D50),"",BA50)</f>
        <v>-0.0438047559449313</v>
      </c>
      <c r="L50" s="82" t="n">
        <f aca="false">IF(ISBLANK(D50),"",IF(F50&gt;0,BF50,BF50))</f>
        <v>0.000193586456933654</v>
      </c>
      <c r="M50" s="80" t="n">
        <f aca="false">IF(ISBLANK(D50),"",IF(F50&gt;0,"-",N50/(2^(1/12)-1)))</f>
        <v>0.00488335981383532</v>
      </c>
      <c r="N50" s="83" t="n">
        <f aca="false">IF(ISBLANK(D50),"",IF(F50&gt;0,"-",1.5*L50))</f>
        <v>0.00029037968540048</v>
      </c>
      <c r="O50" s="12" t="n">
        <f aca="false">IF(ISBLANK(D50),"",IF(F50&gt;0,AU50,AK50))</f>
        <v>705.429709471016</v>
      </c>
      <c r="P50" s="12" t="n">
        <f aca="false">IF(ISBLANK(D50),"",IF(F50&gt;0,AU50*G50,AL50))</f>
        <v>2116.28912841305</v>
      </c>
      <c r="Q50" s="84" t="n">
        <v>0.6</v>
      </c>
      <c r="R50" s="12" t="n">
        <f aca="false">IF(ISBLANK(D50),"",AT50*Q50)</f>
        <v>754.2</v>
      </c>
      <c r="S50" s="13" t="n">
        <f aca="false">IF(ISBLANK(D50),"",AJ50)</f>
        <v>0.985952238336996</v>
      </c>
      <c r="T50" s="85" t="str">
        <f aca="false">IF(ISBLANK(F50),"",ROUND(S50*10*G50,0)/10/G50)</f>
        <v/>
      </c>
      <c r="U50" s="86" t="str">
        <f aca="false">IF(F50&gt;0,(AJ50-E50)/2,"")</f>
        <v/>
      </c>
      <c r="V50" s="86" t="str">
        <f aca="false">IF(F50&gt;0,AN50,"")</f>
        <v/>
      </c>
      <c r="W50" s="87" t="str">
        <f aca="false">IF(F50&gt;0,IF(U50&lt;Paramètres!$B$5,"!!!",""),"")</f>
        <v/>
      </c>
      <c r="X50" s="88" t="str">
        <f aca="false">IF(U50&lt;&gt;"",IF(U50/3&gt;=Paramètres!$B$5,(S50-E50)/2/3,""),"")</f>
        <v/>
      </c>
      <c r="Y50" s="88" t="str">
        <f aca="false">IF(U50&lt;&gt;"",IF(U50/3&gt;=Paramètres!$B$5,AV50,""),"")</f>
        <v/>
      </c>
      <c r="Z50" s="88" t="str">
        <f aca="false">IF(X50&lt;&gt;"",Y50*2,"")</f>
        <v/>
      </c>
      <c r="AB50" s="1"/>
      <c r="AC50" s="79" t="str">
        <f aca="false">INDEX('Charge de rupture par diamètre'!$C$1:$AC$1,AR50)</f>
        <v>Stephen Paulello France</v>
      </c>
      <c r="AD50" s="13" t="n">
        <f aca="false">IF(ISBLANK(D50),"-",$A$4/16 * 2^((C50-1)/12))</f>
        <v>233.081880759045</v>
      </c>
      <c r="AE50" s="13" t="n">
        <f aca="false">AG50/(AG$9*SQRT(1+$L50*AG$9^2))</f>
        <v>233.001175371961</v>
      </c>
      <c r="AF50" s="13" t="n">
        <f aca="false">$AE50*AF$9*SQRT(1+$L50*AF$9^2)</f>
        <v>466.182739317902</v>
      </c>
      <c r="AG50" s="13" t="n">
        <f aca="false">$AE$7*AG49</f>
        <v>233.023727216582</v>
      </c>
      <c r="AH50" s="19" t="n">
        <f aca="false">IF(AND(C50&gt;12,F38="",AD50&gt;$A$4),AH38*2*(1+N38),IF(AD50&gt;=$A$4/2,AD50,AD50))</f>
        <v>233.081880759045</v>
      </c>
      <c r="AI50" s="19" t="n">
        <f aca="false">IF(AND(C50&gt;12,F38="",AD50&gt;$A$4),AH38*2*(1+N38),IF(AD50&gt;=$A$4/2,AD50,AH62/2/(1+N50)))</f>
        <v>233.081880759045</v>
      </c>
      <c r="AJ50" s="85" t="n">
        <f aca="false">IF(Q50&gt;0,((R50*10^12/PI()/A50^2/D50^2-Paramètres!$B$7*E50^2)*4/PI()/Paramètres!$B$8+E50^2)^0.5,"")</f>
        <v>0.985952238336996</v>
      </c>
      <c r="AK50" s="12" t="n">
        <f aca="false">PI()*Paramètres!$B$7*(E50*A50*D50)^2/10^12</f>
        <v>705.429709471016</v>
      </c>
      <c r="AL50" s="12" t="n">
        <f aca="false">AK50*G50</f>
        <v>2116.28912841305</v>
      </c>
      <c r="AM50" s="80" t="n">
        <f aca="false">AK50/AT50</f>
        <v>0.561201041743052</v>
      </c>
      <c r="AN50" s="85" t="n">
        <f aca="false">(-E50+0.1*Paramètres!$B$7/E50/Paramètres!$B$8/PI()*(AW50^2-E50^2)+(E50^2+3.8*Paramètres!$B$7/Paramètres!$B$8/PI()*(AW50^2-E50^2))^0.5)/2</f>
        <v>0.0180087226554374</v>
      </c>
      <c r="AO50" s="85" t="n">
        <f aca="false">VLOOKUP(C50,Paramètres!$C$30:$F$37,2,1)</f>
        <v>0.5</v>
      </c>
      <c r="AP50" s="85" t="n">
        <f aca="false">VLOOKUP(C50,Paramètres!$C$30:$F$37,4,1)</f>
        <v>0.65</v>
      </c>
      <c r="AQ50" s="11" t="b">
        <f aca="false">AND(I50&gt;=AO50,I50&lt;=AP50)</f>
        <v>1</v>
      </c>
      <c r="AR50" s="12" t="n">
        <f aca="false">HLOOKUP(H50,'Charge de rupture par diamètre'!$D$16:$AC$17,2,0)</f>
        <v>3</v>
      </c>
      <c r="AS50" s="12" t="n">
        <f aca="false">VLOOKUP(E50,'Charge de rupture par diamètre'!$C$16:$AC$53,AR50,1)</f>
        <v>1676</v>
      </c>
      <c r="AT50" s="12" t="n">
        <f aca="false">AS50*Paramètres!$B$9</f>
        <v>1257</v>
      </c>
      <c r="AU50" s="79" t="n">
        <f aca="false">PI()*A50^2*D50^2*(Paramètres!$B$7*E50^2+Paramètres!$B$8*PI()/4*(F50^2-E50^2))/10^12</f>
        <v>73.0440972300221</v>
      </c>
      <c r="AV50" s="13" t="n">
        <f aca="false">0.183*(-E50+(E50^2+4*Paramètres!$B$7/PI()/Paramètres!$B$8*(AW50^2-E50^2))^0.5)</f>
        <v>0.00657925961567021</v>
      </c>
      <c r="AW50" s="85" t="n">
        <f aca="false">(R50/PI()/Paramètres!$B$7)^0.5/A50/D50*10^6</f>
        <v>0.982290618362416</v>
      </c>
      <c r="AX50" s="12" t="e">
        <f aca="false">Q50*VLOOKUP(H50,Paramètres!$B$15:$C$18,2,0)*Paramètres!$B$9</f>
        <v>#N/A</v>
      </c>
      <c r="AY50" s="13" t="e">
        <f aca="false">(AX50/PI()/Paramètres!$B$7)^0.5/A50/D50*10^6</f>
        <v>#N/A</v>
      </c>
      <c r="AZ50" s="12" t="n">
        <f aca="false">(IF(F50&gt;0,(F50*F50 -E50*E50)/Paramètres!$B$7*Paramètres!$B$8,0)+E50*E50)*D50*G50</f>
        <v>2068.53</v>
      </c>
      <c r="BA50" s="80" t="n">
        <f aca="false">-1+AZ50/AZ49</f>
        <v>-0.0438047559449313</v>
      </c>
      <c r="BB50" s="80" t="n">
        <f aca="false">IF(F50&gt;0,"",0.234*Paramètres!$B$12*10^9*IF(F50&gt;0,E50,E50)^2/Paramètres!$B$7/A50^2/D50^4*10^6)</f>
        <v>0.000293745388489776</v>
      </c>
      <c r="BC50" s="11" t="n">
        <v>2</v>
      </c>
      <c r="BD50" s="80" t="n">
        <f aca="false">BC50*SQRT(1+L50*BC50^2)-BC50</f>
        <v>0.000774195982879533</v>
      </c>
      <c r="BE50" s="11" t="str">
        <f aca="false">IF(F50&gt;0,PI()^2*Paramètres!$B$12*10^9/8/O50*(E50^4+E50^2*F50^2)*10^-12/D50^2/10^-6,"-")</f>
        <v>-</v>
      </c>
      <c r="BF50" s="11" t="n">
        <f aca="false">IF(ISBLANK(D50),"-",PI()^3*E50^4*Paramètres!$B$12*10^9/64/O50/(D50/1000)^2*10^-12)</f>
        <v>0.000193586456933654</v>
      </c>
      <c r="BG50" s="90" t="n">
        <f aca="false">(Paramètres!$B$12*10^9)^0.5/Paramètres!$B$7/2/D50*1000</f>
        <v>37.4699120522964</v>
      </c>
    </row>
    <row r="51" customFormat="false" ht="12.8" hidden="false" customHeight="false" outlineLevel="0" collapsed="false">
      <c r="A51" s="79" t="n">
        <f aca="false">IF(ISBLANK(D51),"-",IF(AND($A$6,$A$4/2&lt;AD51),AG51,AD51))</f>
        <v>246.885639509121</v>
      </c>
      <c r="B51" s="79" t="str">
        <f aca="false">IF(ISBLANK(D51),"",VLOOKUP(MOD(C51-Paramètres!$B$54,12)+1,Paramètres!$B$40:$C$52,2)&amp;" "&amp;(TRUNC((C51-Paramètres!$B$54+120)/12)-10+1))</f>
        <v>Si 2</v>
      </c>
      <c r="C51" s="11" t="n">
        <f aca="false">IF(ISBLANK(D51),"",C50+1)</f>
        <v>39</v>
      </c>
      <c r="D51" s="25" t="n">
        <v>730</v>
      </c>
      <c r="E51" s="6" t="n">
        <v>0.95</v>
      </c>
      <c r="F51" s="6"/>
      <c r="G51" s="25" t="n">
        <v>3</v>
      </c>
      <c r="H51" s="25" t="s">
        <v>73</v>
      </c>
      <c r="I51" s="80" t="n">
        <f aca="false">IF(ISBLANK(D51),"",IF(F51&gt;0,AU51/AT51,AM51))</f>
        <v>0.575133733378798</v>
      </c>
      <c r="J51" s="81" t="str">
        <f aca="false">IF(ISBLANK(D51),"",IF(AQ51,"","]"&amp;AO51&amp;" -- "&amp;AP51&amp;"["))</f>
        <v/>
      </c>
      <c r="K51" s="80" t="n">
        <f aca="false">IF(ISBLANK(D51),"",BA51)</f>
        <v>-0.044502617801047</v>
      </c>
      <c r="L51" s="82" t="n">
        <f aca="false">IF(ISBLANK(D51),"",IF(F51&gt;0,BF51,BF51))</f>
        <v>0.000206902432081873</v>
      </c>
      <c r="M51" s="80" t="n">
        <f aca="false">IF(ISBLANK(D51),"",IF(F51&gt;0,"-",N51/(2^(1/12)-1)))</f>
        <v>0.00521926501583574</v>
      </c>
      <c r="N51" s="83" t="n">
        <f aca="false">IF(ISBLANK(D51),"",IF(F51&gt;0,"-",1.5*L51))</f>
        <v>0.000310353648122809</v>
      </c>
      <c r="O51" s="12" t="n">
        <f aca="false">IF(ISBLANK(D51),"",IF(F51&gt;0,AU51,AK51))</f>
        <v>722.943102857149</v>
      </c>
      <c r="P51" s="12" t="n">
        <f aca="false">IF(ISBLANK(D51),"",IF(F51&gt;0,AU51*G51,AL51))</f>
        <v>2168.82930857145</v>
      </c>
      <c r="Q51" s="84" t="n">
        <v>0.6</v>
      </c>
      <c r="R51" s="12" t="n">
        <f aca="false">IF(ISBLANK(D51),"",AT51*Q51)</f>
        <v>754.2</v>
      </c>
      <c r="S51" s="13" t="n">
        <f aca="false">IF(ISBLANK(D51),"",AJ51)</f>
        <v>0.972639295432979</v>
      </c>
      <c r="T51" s="85" t="str">
        <f aca="false">IF(ISBLANK(F51),"",ROUND(S51*10*G51,0)/10/G51)</f>
        <v/>
      </c>
      <c r="U51" s="86" t="str">
        <f aca="false">IF(F51&gt;0,(AJ51-E51)/2,"")</f>
        <v/>
      </c>
      <c r="V51" s="86" t="str">
        <f aca="false">IF(F51&gt;0,AN51,"")</f>
        <v/>
      </c>
      <c r="W51" s="87" t="str">
        <f aca="false">IF(F51&gt;0,IF(U51&lt;Paramètres!$B$5,"!!!",""),"")</f>
        <v/>
      </c>
      <c r="X51" s="88" t="str">
        <f aca="false">IF(U51&lt;&gt;"",IF(U51/3&gt;=Paramètres!$B$5,(S51-E51)/2/3,""),"")</f>
        <v/>
      </c>
      <c r="Y51" s="88" t="str">
        <f aca="false">IF(U51&lt;&gt;"",IF(U51/3&gt;=Paramètres!$B$5,AV51,""),"")</f>
        <v/>
      </c>
      <c r="Z51" s="88" t="str">
        <f aca="false">IF(X51&lt;&gt;"",Y51*2,"")</f>
        <v/>
      </c>
      <c r="AB51" s="1"/>
      <c r="AC51" s="79" t="str">
        <f aca="false">INDEX('Charge de rupture par diamètre'!$C$1:$AC$1,AR51)</f>
        <v>Stephen Paulello France</v>
      </c>
      <c r="AD51" s="13" t="n">
        <f aca="false">IF(ISBLANK(D51),"-",$A$4/16 * 2^((C51-1)/12))</f>
        <v>246.941650628062</v>
      </c>
      <c r="AE51" s="13" t="n">
        <f aca="false">AG51/(AG$9*SQRT(1+$L51*AG$9^2))</f>
        <v>246.86010285212</v>
      </c>
      <c r="AF51" s="13" t="n">
        <f aca="false">$AE51*AF$9*SQRT(1+$L51*AF$9^2)</f>
        <v>493.924467273421</v>
      </c>
      <c r="AG51" s="13" t="n">
        <f aca="false">$AE$7*AG50</f>
        <v>246.885639509121</v>
      </c>
      <c r="AH51" s="19" t="n">
        <f aca="false">IF(AND(C51&gt;12,F39="",AD51&gt;$A$4),AH39*2*(1+N39),IF(AD51&gt;=$A$4/2,AD51,AD51))</f>
        <v>246.941650628062</v>
      </c>
      <c r="AI51" s="19" t="n">
        <f aca="false">IF(AND(C51&gt;12,F39="",AD51&gt;$A$4),AH39*2*(1+N39),IF(AD51&gt;=$A$4/2,AD51,AH63/2/(1+N51)))</f>
        <v>246.941650628062</v>
      </c>
      <c r="AJ51" s="85" t="n">
        <f aca="false">IF(Q51&gt;0,((R51*10^12/PI()/A51^2/D51^2-Paramètres!$B$7*E51^2)*4/PI()/Paramètres!$B$8+E51^2)^0.5,"")</f>
        <v>0.972639295432979</v>
      </c>
      <c r="AK51" s="12" t="n">
        <f aca="false">PI()*Paramètres!$B$7*(E51*A51*D51)^2/10^12</f>
        <v>722.943102857149</v>
      </c>
      <c r="AL51" s="12" t="n">
        <f aca="false">AK51*G51</f>
        <v>2168.82930857145</v>
      </c>
      <c r="AM51" s="80" t="n">
        <f aca="false">AK51/AT51</f>
        <v>0.575133733378798</v>
      </c>
      <c r="AN51" s="85" t="n">
        <f aca="false">(-E51+0.1*Paramètres!$B$7/E51/Paramètres!$B$8/PI()*(AW51^2-E51^2)+(E51^2+3.8*Paramètres!$B$7/Paramètres!$B$8/PI()*(AW51^2-E51^2))^0.5)/2</f>
        <v>0.0113326564817233</v>
      </c>
      <c r="AO51" s="85" t="n">
        <f aca="false">VLOOKUP(C51,Paramètres!$C$30:$F$37,2,1)</f>
        <v>0.5</v>
      </c>
      <c r="AP51" s="85" t="n">
        <f aca="false">VLOOKUP(C51,Paramètres!$C$30:$F$37,4,1)</f>
        <v>0.65</v>
      </c>
      <c r="AQ51" s="11" t="b">
        <f aca="false">AND(I51&gt;=AO51,I51&lt;=AP51)</f>
        <v>1</v>
      </c>
      <c r="AR51" s="12" t="n">
        <f aca="false">HLOOKUP(H51,'Charge de rupture par diamètre'!$D$16:$AC$17,2,0)</f>
        <v>3</v>
      </c>
      <c r="AS51" s="12" t="n">
        <f aca="false">VLOOKUP(E51,'Charge de rupture par diamètre'!$C$16:$AC$53,AR51,1)</f>
        <v>1676</v>
      </c>
      <c r="AT51" s="12" t="n">
        <f aca="false">AS51*Paramètres!$B$9</f>
        <v>1257</v>
      </c>
      <c r="AU51" s="79" t="n">
        <f aca="false">PI()*A51^2*D51^2*(Paramètres!$B$7*E51^2+Paramètres!$B$8*PI()/4*(F51^2-E51^2))/10^12</f>
        <v>74.8575309317067</v>
      </c>
      <c r="AV51" s="13" t="n">
        <f aca="false">0.183*(-E51+(E51^2+4*Paramètres!$B$7/PI()/Paramètres!$B$8*(AW51^2-E51^2))^0.5)</f>
        <v>0.00414299106423508</v>
      </c>
      <c r="AW51" s="85" t="n">
        <f aca="false">(R51/PI()/Paramètres!$B$7)^0.5/A51/D51*10^6</f>
        <v>0.970319613259631</v>
      </c>
      <c r="AX51" s="12" t="e">
        <f aca="false">Q51*VLOOKUP(H51,Paramètres!$B$15:$C$18,2,0)*Paramètres!$B$9</f>
        <v>#N/A</v>
      </c>
      <c r="AY51" s="13" t="e">
        <f aca="false">(AX51/PI()/Paramètres!$B$7)^0.5/A51/D51*10^6</f>
        <v>#N/A</v>
      </c>
      <c r="AZ51" s="12" t="n">
        <f aca="false">(IF(F51&gt;0,(F51*F51 -E51*E51)/Paramètres!$B$7*Paramètres!$B$8,0)+E51*E51)*D51*G51</f>
        <v>1976.475</v>
      </c>
      <c r="BA51" s="80" t="n">
        <f aca="false">-1+AZ51/AZ50</f>
        <v>-0.044502617801047</v>
      </c>
      <c r="BB51" s="80" t="n">
        <f aca="false">IF(F51&gt;0,"",0.234*Paramètres!$B$12*10^9*IF(F51&gt;0,E51,E51)^2/Paramètres!$B$7/A51^2/D51^4*10^6)</f>
        <v>0.000313950863371598</v>
      </c>
      <c r="BC51" s="11" t="n">
        <v>2</v>
      </c>
      <c r="BD51" s="80" t="n">
        <f aca="false">BC51*SQRT(1+L51*BC51^2)-BC51</f>
        <v>0.000827438564682925</v>
      </c>
      <c r="BE51" s="11" t="str">
        <f aca="false">IF(F51&gt;0,PI()^2*Paramètres!$B$12*10^9/8/O51*(E51^4+E51^2*F51^2)*10^-12/D51^2/10^-6,"-")</f>
        <v>-</v>
      </c>
      <c r="BF51" s="11" t="n">
        <f aca="false">IF(ISBLANK(D51),"-",PI()^3*E51^4*Paramètres!$B$12*10^9/64/O51/(D51/1000)^2*10^-12)</f>
        <v>0.000206902432081873</v>
      </c>
      <c r="BG51" s="90" t="n">
        <f aca="false">(Paramètres!$B$12*10^9)^0.5/Paramètres!$B$7/2/D51*1000</f>
        <v>39.2150860382938</v>
      </c>
    </row>
    <row r="52" customFormat="false" ht="12.8" hidden="false" customHeight="false" outlineLevel="0" collapsed="false">
      <c r="A52" s="79" t="n">
        <f aca="false">IF(ISBLANK(D52),"-",IF(AND($A$6,$A$4/2&lt;AD52),AG52,AD52))</f>
        <v>261.572157152803</v>
      </c>
      <c r="B52" s="79" t="str">
        <f aca="false">IF(ISBLANK(D52),"",VLOOKUP(MOD(C52-Paramètres!$B$54,12)+1,Paramètres!$B$40:$C$52,2)&amp;" "&amp;(TRUNC((C52-Paramètres!$B$54+120)/12)-10+1))</f>
        <v>Do 3</v>
      </c>
      <c r="C52" s="11" t="n">
        <f aca="false">IF(ISBLANK(D52),"",C51+1)</f>
        <v>40</v>
      </c>
      <c r="D52" s="25" t="n">
        <v>700</v>
      </c>
      <c r="E52" s="6" t="n">
        <v>0.95</v>
      </c>
      <c r="F52" s="6"/>
      <c r="G52" s="25" t="n">
        <v>3</v>
      </c>
      <c r="H52" s="25" t="s">
        <v>73</v>
      </c>
      <c r="I52" s="80" t="n">
        <f aca="false">IF(ISBLANK(D52),"",IF(F52&gt;0,AU52/AT52,AM52))</f>
        <v>0.593622796209673</v>
      </c>
      <c r="J52" s="81" t="str">
        <f aca="false">IF(ISBLANK(D52),"",IF(AQ52,"","]"&amp;AO52&amp;" -- "&amp;AP52&amp;"["))</f>
        <v/>
      </c>
      <c r="K52" s="80" t="n">
        <f aca="false">IF(ISBLANK(D52),"",BA52)</f>
        <v>-0.0410958904109588</v>
      </c>
      <c r="L52" s="82" t="n">
        <f aca="false">IF(ISBLANK(D52),"",IF(F52&gt;0,BF52,BF52))</f>
        <v>0.000218008540114092</v>
      </c>
      <c r="M52" s="80" t="n">
        <f aca="false">IF(ISBLANK(D52),"",IF(F52&gt;0,"-",N52/(2^(1/12)-1)))</f>
        <v>0.0054994247052671</v>
      </c>
      <c r="N52" s="83" t="n">
        <f aca="false">IF(ISBLANK(D52),"",IF(F52&gt;0,"-",1.5*L52))</f>
        <v>0.000327012810171138</v>
      </c>
      <c r="O52" s="12" t="n">
        <f aca="false">IF(ISBLANK(D52),"",IF(F52&gt;0,AU52,AK52))</f>
        <v>746.183854835559</v>
      </c>
      <c r="P52" s="12" t="n">
        <f aca="false">IF(ISBLANK(D52),"",IF(F52&gt;0,AU52*G52,AL52))</f>
        <v>2238.55156450668</v>
      </c>
      <c r="Q52" s="84" t="n">
        <v>0.6</v>
      </c>
      <c r="R52" s="12" t="n">
        <f aca="false">IF(ISBLANK(D52),"",AT52*Q52)</f>
        <v>754.2</v>
      </c>
      <c r="S52" s="13" t="n">
        <f aca="false">IF(ISBLANK(D52),"",AJ52)</f>
        <v>0.955675312677202</v>
      </c>
      <c r="T52" s="85" t="str">
        <f aca="false">IF(ISBLANK(F52),"",ROUND(S52*10*G52,0)/10/G52)</f>
        <v/>
      </c>
      <c r="U52" s="86" t="str">
        <f aca="false">IF(F52&gt;0,(AJ52-E52)/2,"")</f>
        <v/>
      </c>
      <c r="V52" s="86" t="str">
        <f aca="false">IF(F52&gt;0,AN52,"")</f>
        <v/>
      </c>
      <c r="W52" s="87" t="str">
        <f aca="false">IF(F52&gt;0,IF(U52&lt;Paramètres!$B$5,"!!!",""),"")</f>
        <v/>
      </c>
      <c r="X52" s="88" t="str">
        <f aca="false">IF(U52&lt;&gt;"",IF(U52/3&gt;=Paramètres!$B$5,(S52-E52)/2/3,""),"")</f>
        <v/>
      </c>
      <c r="Y52" s="88" t="str">
        <f aca="false">IF(U52&lt;&gt;"",IF(U52/3&gt;=Paramètres!$B$5,AV52,""),"")</f>
        <v/>
      </c>
      <c r="Z52" s="88" t="str">
        <f aca="false">IF(X52&lt;&gt;"",Y52*2,"")</f>
        <v/>
      </c>
      <c r="AB52" s="1"/>
      <c r="AC52" s="79" t="str">
        <f aca="false">INDEX('Charge de rupture par diamètre'!$C$1:$AC$1,AR52)</f>
        <v>Stephen Paulello France</v>
      </c>
      <c r="AD52" s="13" t="n">
        <f aca="false">IF(ISBLANK(D52),"-",$A$4/16 * 2^((C52-1)/12))</f>
        <v>261.625565300599</v>
      </c>
      <c r="AE52" s="13" t="n">
        <f aca="false">AG52/(AG$9*SQRT(1+$L52*AG$9^2))</f>
        <v>261.543649331872</v>
      </c>
      <c r="AF52" s="13" t="n">
        <f aca="false">$AE52*AF$9*SQRT(1+$L52*AF$9^2)</f>
        <v>523.315323959782</v>
      </c>
      <c r="AG52" s="13" t="n">
        <f aca="false">$AE$7*AG51</f>
        <v>261.572157152803</v>
      </c>
      <c r="AH52" s="19" t="n">
        <f aca="false">IF(AND(C52&gt;12,F40="",AD52&gt;$A$4),AH40*2*(1+N40),IF(AD52&gt;=$A$4/2,AD52,AD52))</f>
        <v>261.625565300599</v>
      </c>
      <c r="AI52" s="19" t="n">
        <f aca="false">IF(AND(C52&gt;12,F40="",AD52&gt;$A$4),AH40*2*(1+N40),IF(AD52&gt;=$A$4/2,AD52,AH64/2/(1+N52)))</f>
        <v>261.625565300599</v>
      </c>
      <c r="AJ52" s="85" t="n">
        <f aca="false">IF(Q52&gt;0,((R52*10^12/PI()/A52^2/D52^2-Paramètres!$B$7*E52^2)*4/PI()/Paramètres!$B$8+E52^2)^0.5,"")</f>
        <v>0.955675312677202</v>
      </c>
      <c r="AK52" s="12" t="n">
        <f aca="false">PI()*Paramètres!$B$7*(E52*A52*D52)^2/10^12</f>
        <v>746.183854835559</v>
      </c>
      <c r="AL52" s="12" t="n">
        <f aca="false">AK52*G52</f>
        <v>2238.55156450668</v>
      </c>
      <c r="AM52" s="80" t="n">
        <f aca="false">AK52/AT52</f>
        <v>0.593622796209673</v>
      </c>
      <c r="AN52" s="85" t="n">
        <f aca="false">(-E52+0.1*Paramètres!$B$7/E52/Paramètres!$B$8/PI()*(AW52^2-E52^2)+(E52^2+3.8*Paramètres!$B$7/Paramètres!$B$8/PI()*(AW52^2-E52^2))^0.5)/2</f>
        <v>0.00283848048595964</v>
      </c>
      <c r="AO52" s="85" t="n">
        <f aca="false">VLOOKUP(C52,Paramètres!$C$30:$F$37,2,1)</f>
        <v>0.5</v>
      </c>
      <c r="AP52" s="85" t="n">
        <f aca="false">VLOOKUP(C52,Paramètres!$C$30:$F$37,4,1)</f>
        <v>0.65</v>
      </c>
      <c r="AQ52" s="11" t="b">
        <f aca="false">AND(I52&gt;=AO52,I52&lt;=AP52)</f>
        <v>1</v>
      </c>
      <c r="AR52" s="12" t="n">
        <f aca="false">HLOOKUP(H52,'Charge de rupture par diamètre'!$D$16:$AC$17,2,0)</f>
        <v>3</v>
      </c>
      <c r="AS52" s="12" t="n">
        <f aca="false">VLOOKUP(E52,'Charge de rupture par diamètre'!$C$16:$AC$53,AR52,1)</f>
        <v>1676</v>
      </c>
      <c r="AT52" s="12" t="n">
        <f aca="false">AS52*Paramètres!$B$9</f>
        <v>1257</v>
      </c>
      <c r="AU52" s="79" t="n">
        <f aca="false">PI()*A52^2*D52^2*(Paramètres!$B$7*E52^2+Paramètres!$B$8*PI()/4*(F52^2-E52^2))/10^12</f>
        <v>77.2640070474955</v>
      </c>
      <c r="AV52" s="13" t="n">
        <f aca="false">0.183*(-E52+(E52^2+4*Paramètres!$B$7/PI()/Paramètres!$B$8*(AW52^2-E52^2))^0.5)</f>
        <v>0.00103858221992805</v>
      </c>
      <c r="AW52" s="85" t="n">
        <f aca="false">(R52/PI()/Paramètres!$B$7)^0.5/A52/D52*10^6</f>
        <v>0.955089224570041</v>
      </c>
      <c r="AX52" s="12" t="e">
        <f aca="false">Q52*VLOOKUP(H52,Paramètres!$B$15:$C$18,2,0)*Paramètres!$B$9</f>
        <v>#N/A</v>
      </c>
      <c r="AY52" s="13" t="e">
        <f aca="false">(AX52/PI()/Paramètres!$B$7)^0.5/A52/D52*10^6</f>
        <v>#N/A</v>
      </c>
      <c r="AZ52" s="12" t="n">
        <f aca="false">(IF(F52&gt;0,(F52*F52 -E52*E52)/Paramètres!$B$7*Paramètres!$B$8,0)+E52*E52)*D52*G52</f>
        <v>1895.25</v>
      </c>
      <c r="BA52" s="80" t="n">
        <f aca="false">-1+AZ52/AZ51</f>
        <v>-0.0410958904109588</v>
      </c>
      <c r="BB52" s="80" t="n">
        <f aca="false">IF(F52&gt;0,"",0.234*Paramètres!$B$12*10^9*IF(F52&gt;0,E52,E52)^2/Paramètres!$B$7/A52^2/D52^4*10^6)</f>
        <v>0.000330803116727584</v>
      </c>
      <c r="BC52" s="11" t="n">
        <v>2</v>
      </c>
      <c r="BD52" s="80" t="n">
        <f aca="false">BC52*SQRT(1+L52*BC52^2)-BC52</f>
        <v>0.000871844132408484</v>
      </c>
      <c r="BE52" s="11" t="str">
        <f aca="false">IF(F52&gt;0,PI()^2*Paramètres!$B$12*10^9/8/O52*(E52^4+E52^2*F52^2)*10^-12/D52^2/10^-6,"-")</f>
        <v>-</v>
      </c>
      <c r="BF52" s="11" t="n">
        <f aca="false">IF(ISBLANK(D52),"-",PI()^3*E52^4*Paramètres!$B$12*10^9/64/O52/(D52/1000)^2*10^-12)</f>
        <v>0.000218008540114092</v>
      </c>
      <c r="BG52" s="90" t="n">
        <f aca="false">(Paramètres!$B$12*10^9)^0.5/Paramètres!$B$7/2/D52*1000</f>
        <v>40.8957325827921</v>
      </c>
    </row>
    <row r="53" customFormat="false" ht="12.8" hidden="false" customHeight="false" outlineLevel="0" collapsed="false">
      <c r="A53" s="79" t="n">
        <f aca="false">IF(ISBLANK(D53),"-",IF(AND($A$6,$A$4/2&lt;AD53),AG53,AD53))</f>
        <v>277.132333551716</v>
      </c>
      <c r="B53" s="79" t="str">
        <f aca="false">IF(ISBLANK(D53),"",VLOOKUP(MOD(C53-Paramètres!$B$54,12)+1,Paramètres!$B$40:$C$52,2)&amp;" "&amp;(TRUNC((C53-Paramètres!$B$54+120)/12)-10+1))</f>
        <v>Do# 3</v>
      </c>
      <c r="C53" s="11" t="n">
        <f aca="false">IF(ISBLANK(D53),"",C52+1)</f>
        <v>41</v>
      </c>
      <c r="D53" s="25" t="n">
        <v>664</v>
      </c>
      <c r="E53" s="6" t="n">
        <v>0.9</v>
      </c>
      <c r="F53" s="6"/>
      <c r="G53" s="25" t="n">
        <v>3</v>
      </c>
      <c r="H53" s="25" t="s">
        <v>73</v>
      </c>
      <c r="I53" s="80" t="n">
        <f aca="false">IF(ISBLANK(D53),"",IF(F53&gt;0,AU53/AT53,AM53))</f>
        <v>0.596094223148507</v>
      </c>
      <c r="J53" s="81" t="str">
        <f aca="false">IF(ISBLANK(D53),"",IF(AQ53,"","]"&amp;AO53&amp;" -- "&amp;AP53&amp;"["))</f>
        <v/>
      </c>
      <c r="K53" s="80" t="n">
        <f aca="false">IF(ISBLANK(D53),"",BA53)</f>
        <v>-0.148650573802928</v>
      </c>
      <c r="L53" s="82" t="n">
        <f aca="false">IF(ISBLANK(D53),"",IF(F53&gt;0,BF53,BF53))</f>
        <v>0.000215297897202323</v>
      </c>
      <c r="M53" s="80" t="n">
        <f aca="false">IF(ISBLANK(D53),"",IF(F53&gt;0,"-",N53/(2^(1/12)-1)))</f>
        <v>0.00543104675737416</v>
      </c>
      <c r="N53" s="83" t="n">
        <f aca="false">IF(ISBLANK(D53),"",IF(F53&gt;0,"-",1.5*L53))</f>
        <v>0.000322946845803485</v>
      </c>
      <c r="O53" s="12" t="n">
        <f aca="false">IF(ISBLANK(D53),"",IF(F53&gt;0,AU53,AK53))</f>
        <v>676.417919717768</v>
      </c>
      <c r="P53" s="12" t="n">
        <f aca="false">IF(ISBLANK(D53),"",IF(F53&gt;0,AU53*G53,AL53))</f>
        <v>2029.2537591533</v>
      </c>
      <c r="Q53" s="84" t="n">
        <v>0.6</v>
      </c>
      <c r="R53" s="12" t="n">
        <f aca="false">IF(ISBLANK(D53),"",AT53*Q53)</f>
        <v>680.85</v>
      </c>
      <c r="S53" s="13" t="n">
        <f aca="false">IF(ISBLANK(D53),"",AJ53)</f>
        <v>0.90328310962106</v>
      </c>
      <c r="T53" s="85" t="str">
        <f aca="false">IF(ISBLANK(F53),"",ROUND(S53*10*G53,0)/10/G53)</f>
        <v/>
      </c>
      <c r="U53" s="86" t="str">
        <f aca="false">IF(F53&gt;0,(AJ53-E53)/2,"")</f>
        <v/>
      </c>
      <c r="V53" s="86" t="str">
        <f aca="false">IF(F53&gt;0,AN53,"")</f>
        <v/>
      </c>
      <c r="W53" s="87" t="str">
        <f aca="false">IF(F53&gt;0,IF(U53&lt;Paramètres!$B$5,"!!!",""),"")</f>
        <v/>
      </c>
      <c r="X53" s="88" t="str">
        <f aca="false">IF(U53&lt;&gt;"",IF(U53/3&gt;=Paramètres!$B$5,(S53-E53)/2/3,""),"")</f>
        <v/>
      </c>
      <c r="Y53" s="88" t="str">
        <f aca="false">IF(U53&lt;&gt;"",IF(U53/3&gt;=Paramètres!$B$5,AV53,""),"")</f>
        <v/>
      </c>
      <c r="Z53" s="88" t="str">
        <f aca="false">IF(X53&lt;&gt;"",Y53*2,"")</f>
        <v/>
      </c>
      <c r="AB53" s="1"/>
      <c r="AC53" s="79" t="str">
        <f aca="false">INDEX('Charge de rupture par diamètre'!$C$1:$AC$1,AR53)</f>
        <v>Stephen Paulello France</v>
      </c>
      <c r="AD53" s="13" t="n">
        <f aca="false">IF(ISBLANK(D53),"-",$A$4/16 * 2^((C53-1)/12))</f>
        <v>277.182630976872</v>
      </c>
      <c r="AE53" s="13" t="n">
        <f aca="false">AG53/(AG$9*SQRT(1+$L53*AG$9^2))</f>
        <v>277.102505363759</v>
      </c>
      <c r="AF53" s="13" t="n">
        <f aca="false">$AE53*AF$9*SQRT(1+$L53*AF$9^2)</f>
        <v>554.443597718153</v>
      </c>
      <c r="AG53" s="13" t="n">
        <f aca="false">$AE$7*AG52</f>
        <v>277.132333551716</v>
      </c>
      <c r="AH53" s="19" t="n">
        <f aca="false">IF(AND(C53&gt;12,F41="",AD53&gt;$A$4),AH41*2*(1+N41),IF(AD53&gt;=$A$4/2,AD53,AD53))</f>
        <v>277.182630976872</v>
      </c>
      <c r="AI53" s="19" t="n">
        <f aca="false">IF(AND(C53&gt;12,F41="",AD53&gt;$A$4),AH41*2*(1+N41),IF(AD53&gt;=$A$4/2,AD53,AH65/2/(1+N53)))</f>
        <v>277.182630976872</v>
      </c>
      <c r="AJ53" s="85" t="n">
        <f aca="false">IF(Q53&gt;0,((R53*10^12/PI()/A53^2/D53^2-Paramètres!$B$7*E53^2)*4/PI()/Paramètres!$B$8+E53^2)^0.5,"")</f>
        <v>0.90328310962106</v>
      </c>
      <c r="AK53" s="12" t="n">
        <f aca="false">PI()*Paramètres!$B$7*(E53*A53*D53)^2/10^12</f>
        <v>676.417919717768</v>
      </c>
      <c r="AL53" s="12" t="n">
        <f aca="false">AK53*G53</f>
        <v>2029.2537591533</v>
      </c>
      <c r="AM53" s="80" t="n">
        <f aca="false">AK53/AT53</f>
        <v>0.596094223148507</v>
      </c>
      <c r="AN53" s="85" t="n">
        <f aca="false">(-E53+0.1*Paramètres!$B$7/E53/Paramètres!$B$8/PI()*(AW53^2-E53^2)+(E53^2+3.8*Paramètres!$B$7/Paramètres!$B$8/PI()*(AW53^2-E53^2))^0.5)/2</f>
        <v>0.00164184624541563</v>
      </c>
      <c r="AO53" s="85" t="n">
        <f aca="false">VLOOKUP(C53,Paramètres!$C$30:$F$37,2,1)</f>
        <v>0.5</v>
      </c>
      <c r="AP53" s="85" t="n">
        <f aca="false">VLOOKUP(C53,Paramètres!$C$30:$F$37,4,1)</f>
        <v>0.65</v>
      </c>
      <c r="AQ53" s="11" t="b">
        <f aca="false">AND(I53&gt;=AO53,I53&lt;=AP53)</f>
        <v>1</v>
      </c>
      <c r="AR53" s="12" t="n">
        <f aca="false">HLOOKUP(H53,'Charge de rupture par diamètre'!$D$16:$AC$17,2,0)</f>
        <v>3</v>
      </c>
      <c r="AS53" s="12" t="n">
        <f aca="false">VLOOKUP(E53,'Charge de rupture par diamètre'!$C$16:$AC$53,AR53,1)</f>
        <v>1513</v>
      </c>
      <c r="AT53" s="12" t="n">
        <f aca="false">AS53*Paramètres!$B$9</f>
        <v>1134.75</v>
      </c>
      <c r="AU53" s="79" t="n">
        <f aca="false">PI()*A53^2*D53^2*(Paramètres!$B$7*E53^2+Paramètres!$B$8*PI()/4*(F53^2-E53^2))/10^12</f>
        <v>70.040055915768</v>
      </c>
      <c r="AV53" s="13" t="n">
        <f aca="false">0.183*(-E53+(E53^2+4*Paramètres!$B$7/PI()/Paramètres!$B$8*(AW53^2-E53^2))^0.5)</f>
        <v>0.000600809060653968</v>
      </c>
      <c r="AW53" s="85" t="n">
        <f aca="false">(R53/PI()/Paramètres!$B$7)^0.5/A53/D53*10^6</f>
        <v>0.902943712314655</v>
      </c>
      <c r="AX53" s="12" t="e">
        <f aca="false">Q53*VLOOKUP(H53,Paramètres!$B$15:$C$18,2,0)*Paramètres!$B$9</f>
        <v>#N/A</v>
      </c>
      <c r="AY53" s="13" t="e">
        <f aca="false">(AX53/PI()/Paramètres!$B$7)^0.5/A53/D53*10^6</f>
        <v>#N/A</v>
      </c>
      <c r="AZ53" s="12" t="n">
        <f aca="false">(IF(F53&gt;0,(F53*F53 -E53*E53)/Paramètres!$B$7*Paramètres!$B$8,0)+E53*E53)*D53*G53</f>
        <v>1613.52</v>
      </c>
      <c r="BA53" s="80" t="n">
        <f aca="false">-1+AZ53/AZ52</f>
        <v>-0.148650573802928</v>
      </c>
      <c r="BB53" s="80" t="n">
        <f aca="false">IF(F53&gt;0,"",0.234*Paramètres!$B$12*10^9*IF(F53&gt;0,E53,E53)^2/Paramètres!$B$7/A53^2/D53^4*10^6)</f>
        <v>0.00032669002499696</v>
      </c>
      <c r="BC53" s="11" t="n">
        <v>2</v>
      </c>
      <c r="BD53" s="80" t="n">
        <f aca="false">BC53*SQRT(1+L53*BC53^2)-BC53</f>
        <v>0.000861006255866048</v>
      </c>
      <c r="BE53" s="11" t="str">
        <f aca="false">IF(F53&gt;0,PI()^2*Paramètres!$B$12*10^9/8/O53*(E53^4+E53^2*F53^2)*10^-12/D53^2/10^-6,"-")</f>
        <v>-</v>
      </c>
      <c r="BF53" s="11" t="n">
        <f aca="false">IF(ISBLANK(D53),"-",PI()^3*E53^4*Paramètres!$B$12*10^9/64/O53/(D53/1000)^2*10^-12)</f>
        <v>0.000215297897202323</v>
      </c>
      <c r="BG53" s="90" t="n">
        <f aca="false">(Paramètres!$B$12*10^9)^0.5/Paramètres!$B$7/2/D53*1000</f>
        <v>43.1129710963169</v>
      </c>
    </row>
    <row r="54" customFormat="false" ht="12.8" hidden="false" customHeight="false" outlineLevel="0" collapsed="false">
      <c r="A54" s="79" t="n">
        <f aca="false">IF(ISBLANK(D54),"-",IF(AND($A$6,$A$4/2&lt;AD54),AG54,AD54))</f>
        <v>293.61814015608</v>
      </c>
      <c r="B54" s="79" t="str">
        <f aca="false">IF(ISBLANK(D54),"",VLOOKUP(MOD(C54-Paramètres!$B$54,12)+1,Paramètres!$B$40:$C$52,2)&amp;" "&amp;(TRUNC((C54-Paramètres!$B$54+120)/12)-10+1))</f>
        <v>Ré 3</v>
      </c>
      <c r="C54" s="11" t="n">
        <f aca="false">IF(ISBLANK(D54),"",C53+1)</f>
        <v>42</v>
      </c>
      <c r="D54" s="25" t="n">
        <v>634</v>
      </c>
      <c r="E54" s="6" t="n">
        <v>0.9</v>
      </c>
      <c r="F54" s="6"/>
      <c r="G54" s="25" t="n">
        <v>3</v>
      </c>
      <c r="H54" s="25" t="s">
        <v>73</v>
      </c>
      <c r="I54" s="80" t="n">
        <f aca="false">IF(ISBLANK(D54),"",IF(F54&gt;0,AU54/AT54,AM54))</f>
        <v>0.610026412927218</v>
      </c>
      <c r="J54" s="81" t="str">
        <f aca="false">IF(ISBLANK(D54),"",IF(AQ54,"","]"&amp;AO54&amp;" -- "&amp;AP54&amp;"["))</f>
        <v/>
      </c>
      <c r="K54" s="80" t="n">
        <f aca="false">IF(ISBLANK(D54),"",BA54)</f>
        <v>-0.0451807228915661</v>
      </c>
      <c r="L54" s="82" t="n">
        <f aca="false">IF(ISBLANK(D54),"",IF(F54&gt;0,BF54,BF54))</f>
        <v>0.000230761686671764</v>
      </c>
      <c r="M54" s="80" t="n">
        <f aca="false">IF(ISBLANK(D54),"",IF(F54&gt;0,"-",N54/(2^(1/12)-1)))</f>
        <v>0.00582113214485846</v>
      </c>
      <c r="N54" s="83" t="n">
        <f aca="false">IF(ISBLANK(D54),"",IF(F54&gt;0,"-",1.5*L54))</f>
        <v>0.000346142530007645</v>
      </c>
      <c r="O54" s="12" t="n">
        <f aca="false">IF(ISBLANK(D54),"",IF(F54&gt;0,AU54,AK54))</f>
        <v>692.22747206916</v>
      </c>
      <c r="P54" s="12" t="n">
        <f aca="false">IF(ISBLANK(D54),"",IF(F54&gt;0,AU54*G54,AL54))</f>
        <v>2076.68241620748</v>
      </c>
      <c r="Q54" s="84" t="n">
        <v>0.6</v>
      </c>
      <c r="R54" s="12" t="n">
        <f aca="false">IF(ISBLANK(D54),"",AT54*Q54)</f>
        <v>680.85</v>
      </c>
      <c r="S54" s="13" t="n">
        <f aca="false">IF(ISBLANK(D54),"",AJ54)</f>
        <v>0.891711313846554</v>
      </c>
      <c r="T54" s="85" t="str">
        <f aca="false">IF(ISBLANK(F54),"",ROUND(S54*10*G54,0)/10/G54)</f>
        <v/>
      </c>
      <c r="U54" s="86" t="str">
        <f aca="false">IF(F54&gt;0,(AJ54-E54)/2,"")</f>
        <v/>
      </c>
      <c r="V54" s="86" t="str">
        <f aca="false">IF(F54&gt;0,AN54,"")</f>
        <v/>
      </c>
      <c r="W54" s="87" t="str">
        <f aca="false">IF(F54&gt;0,IF(U54&lt;Paramètres!$B$5,"!!!",""),"")</f>
        <v/>
      </c>
      <c r="X54" s="88" t="str">
        <f aca="false">IF(U54&lt;&gt;"",IF(U54/3&gt;=Paramètres!$B$5,(S54-E54)/2/3,""),"")</f>
        <v/>
      </c>
      <c r="Y54" s="88" t="str">
        <f aca="false">IF(U54&lt;&gt;"",IF(U54/3&gt;=Paramètres!$B$5,AV54,""),"")</f>
        <v/>
      </c>
      <c r="Z54" s="88" t="str">
        <f aca="false">IF(X54&lt;&gt;"",Y54*2,"")</f>
        <v/>
      </c>
      <c r="AB54" s="1"/>
      <c r="AC54" s="79" t="str">
        <f aca="false">INDEX('Charge de rupture par diamètre'!$C$1:$AC$1,AR54)</f>
        <v>Stephen Paulello France</v>
      </c>
      <c r="AD54" s="13" t="n">
        <f aca="false">IF(ISBLANK(D54),"-",$A$4/16 * 2^((C54-1)/12))</f>
        <v>293.664767917408</v>
      </c>
      <c r="AE54" s="13" t="n">
        <f aca="false">AG54/(AG$9*SQRT(1+$L54*AG$9^2))</f>
        <v>293.584268109615</v>
      </c>
      <c r="AF54" s="13" t="n">
        <f aca="false">$AE54*AF$9*SQRT(1+$L54*AF$9^2)</f>
        <v>587.43946571706</v>
      </c>
      <c r="AG54" s="13" t="n">
        <f aca="false">$AE$7*AG53</f>
        <v>293.61814015608</v>
      </c>
      <c r="AH54" s="19" t="n">
        <f aca="false">IF(AND(C54&gt;12,F42="",AD54&gt;$A$4),AH42*2*(1+N42),IF(AD54&gt;=$A$4/2,AD54,AD54))</f>
        <v>293.664767917408</v>
      </c>
      <c r="AI54" s="19" t="n">
        <f aca="false">IF(AND(C54&gt;12,F42="",AD54&gt;$A$4),AH42*2*(1+N42),IF(AD54&gt;=$A$4/2,AD54,AH66/2/(1+N54)))</f>
        <v>293.664767917408</v>
      </c>
      <c r="AJ54" s="85" t="n">
        <f aca="false">IF(Q54&gt;0,((R54*10^12/PI()/A54^2/D54^2-Paramètres!$B$7*E54^2)*4/PI()/Paramètres!$B$8+E54^2)^0.5,"")</f>
        <v>0.891711313846554</v>
      </c>
      <c r="AK54" s="12" t="n">
        <f aca="false">PI()*Paramètres!$B$7*(E54*A54*D54)^2/10^12</f>
        <v>692.22747206916</v>
      </c>
      <c r="AL54" s="12" t="n">
        <f aca="false">AK54*G54</f>
        <v>2076.68241620748</v>
      </c>
      <c r="AM54" s="80" t="n">
        <f aca="false">AK54/AT54</f>
        <v>0.610026412927218</v>
      </c>
      <c r="AN54" s="85" t="n">
        <f aca="false">(-E54+0.1*Paramètres!$B$7/E54/Paramètres!$B$8/PI()*(AW54^2-E54^2)+(E54^2+3.8*Paramètres!$B$7/Paramètres!$B$8/PI()*(AW54^2-E54^2))^0.5)/2</f>
        <v>-0.00414247438885018</v>
      </c>
      <c r="AO54" s="85" t="n">
        <f aca="false">VLOOKUP(C54,Paramètres!$C$30:$F$37,2,1)</f>
        <v>0.5</v>
      </c>
      <c r="AP54" s="85" t="n">
        <f aca="false">VLOOKUP(C54,Paramètres!$C$30:$F$37,4,1)</f>
        <v>0.65</v>
      </c>
      <c r="AQ54" s="11" t="b">
        <f aca="false">AND(I54&gt;=AO54,I54&lt;=AP54)</f>
        <v>1</v>
      </c>
      <c r="AR54" s="12" t="n">
        <f aca="false">HLOOKUP(H54,'Charge de rupture par diamètre'!$D$16:$AC$17,2,0)</f>
        <v>3</v>
      </c>
      <c r="AS54" s="12" t="n">
        <f aca="false">VLOOKUP(E54,'Charge de rupture par diamètre'!$C$16:$AC$53,AR54,1)</f>
        <v>1513</v>
      </c>
      <c r="AT54" s="12" t="n">
        <f aca="false">AS54*Paramètres!$B$9</f>
        <v>1134.75</v>
      </c>
      <c r="AU54" s="79" t="n">
        <f aca="false">PI()*A54^2*D54^2*(Paramètres!$B$7*E54^2+Paramètres!$B$8*PI()/4*(F54^2-E54^2))/10^12</f>
        <v>71.6770644846078</v>
      </c>
      <c r="AV54" s="13" t="n">
        <f aca="false">0.183*(-E54+(E54^2+4*Paramètres!$B$7/PI()/Paramètres!$B$8*(AW54^2-E54^2))^0.5)</f>
        <v>-0.00151682956608056</v>
      </c>
      <c r="AW54" s="85" t="n">
        <f aca="false">(R54/PI()/Paramètres!$B$7)^0.5/A54/D54*10^6</f>
        <v>0.892573142678725</v>
      </c>
      <c r="AX54" s="12" t="e">
        <f aca="false">Q54*VLOOKUP(H54,Paramètres!$B$15:$C$18,2,0)*Paramètres!$B$9</f>
        <v>#N/A</v>
      </c>
      <c r="AY54" s="13" t="e">
        <f aca="false">(AX54/PI()/Paramètres!$B$7)^0.5/A54/D54*10^6</f>
        <v>#N/A</v>
      </c>
      <c r="AZ54" s="12" t="n">
        <f aca="false">(IF(F54&gt;0,(F54*F54 -E54*E54)/Paramètres!$B$7*Paramètres!$B$8,0)+E54*E54)*D54*G54</f>
        <v>1540.62</v>
      </c>
      <c r="BA54" s="80" t="n">
        <f aca="false">-1+AZ54/AZ53</f>
        <v>-0.0451807228915661</v>
      </c>
      <c r="BB54" s="80" t="n">
        <f aca="false">IF(F54&gt;0,"",0.234*Paramètres!$B$12*10^9*IF(F54&gt;0,E54,E54)^2/Paramètres!$B$7/A54^2/D54^4*10^6)</f>
        <v>0.000350154563359691</v>
      </c>
      <c r="BC54" s="11" t="n">
        <v>2</v>
      </c>
      <c r="BD54" s="80" t="n">
        <f aca="false">BC54*SQRT(1+L54*BC54^2)-BC54</f>
        <v>0.000922833841112247</v>
      </c>
      <c r="BE54" s="11" t="str">
        <f aca="false">IF(F54&gt;0,PI()^2*Paramètres!$B$12*10^9/8/O54*(E54^4+E54^2*F54^2)*10^-12/D54^2/10^-6,"-")</f>
        <v>-</v>
      </c>
      <c r="BF54" s="11" t="n">
        <f aca="false">IF(ISBLANK(D54),"-",PI()^3*E54^4*Paramètres!$B$12*10^9/64/O54/(D54/1000)^2*10^-12)</f>
        <v>0.000230761686671764</v>
      </c>
      <c r="BG54" s="90" t="n">
        <f aca="false">(Paramètres!$B$12*10^9)^0.5/Paramètres!$B$7/2/D54*1000</f>
        <v>45.1530170472467</v>
      </c>
    </row>
    <row r="55" customFormat="false" ht="12.8" hidden="false" customHeight="false" outlineLevel="0" collapsed="false">
      <c r="A55" s="79" t="n">
        <f aca="false">IF(ISBLANK(D55),"-",IF(AND($A$6,$A$4/2&lt;AD55),AG55,AD55))</f>
        <v>311.084640048424</v>
      </c>
      <c r="B55" s="79" t="str">
        <f aca="false">IF(ISBLANK(D55),"",VLOOKUP(MOD(C55-Paramètres!$B$54,12)+1,Paramètres!$B$40:$C$52,2)&amp;" "&amp;(TRUNC((C55-Paramètres!$B$54+120)/12)-10+1))</f>
        <v>Ré# 3</v>
      </c>
      <c r="C55" s="11" t="n">
        <f aca="false">IF(ISBLANK(D55),"",C54+1)</f>
        <v>43</v>
      </c>
      <c r="D55" s="25" t="n">
        <v>606</v>
      </c>
      <c r="E55" s="6" t="n">
        <v>0.9</v>
      </c>
      <c r="F55" s="6"/>
      <c r="G55" s="25" t="n">
        <v>3</v>
      </c>
      <c r="H55" s="25" t="s">
        <v>73</v>
      </c>
      <c r="I55" s="80" t="n">
        <f aca="false">IF(ISBLANK(D55),"",IF(F55&gt;0,AU55/AT55,AM55))</f>
        <v>0.625614407253217</v>
      </c>
      <c r="J55" s="81" t="str">
        <f aca="false">IF(ISBLANK(D55),"",IF(AQ55,"","]"&amp;AO55&amp;" -- "&amp;AP55&amp;"["))</f>
        <v/>
      </c>
      <c r="K55" s="80" t="n">
        <f aca="false">IF(ISBLANK(D55),"",BA55)</f>
        <v>-0.0441640378548899</v>
      </c>
      <c r="L55" s="82" t="n">
        <f aca="false">IF(ISBLANK(D55),"",IF(F55&gt;0,BF55,BF55))</f>
        <v>0.000246285514986639</v>
      </c>
      <c r="M55" s="80" t="n">
        <f aca="false">IF(ISBLANK(D55),"",IF(F55&gt;0,"-",N55/(2^(1/12)-1)))</f>
        <v>0.00621273205608429</v>
      </c>
      <c r="N55" s="83" t="n">
        <f aca="false">IF(ISBLANK(D55),"",IF(F55&gt;0,"-",1.5*L55))</f>
        <v>0.000369428272479959</v>
      </c>
      <c r="O55" s="12" t="n">
        <f aca="false">IF(ISBLANK(D55),"",IF(F55&gt;0,AU55,AK55))</f>
        <v>709.915948630588</v>
      </c>
      <c r="P55" s="12" t="n">
        <f aca="false">IF(ISBLANK(D55),"",IF(F55&gt;0,AU55*G55,AL55))</f>
        <v>2129.74784589176</v>
      </c>
      <c r="Q55" s="84" t="n">
        <v>0.6</v>
      </c>
      <c r="R55" s="12" t="n">
        <f aca="false">IF(ISBLANK(D55),"",AT55*Q55)</f>
        <v>680.85</v>
      </c>
      <c r="S55" s="13" t="n">
        <f aca="false">IF(ISBLANK(D55),"",AJ55)</f>
        <v>0.879207449495472</v>
      </c>
      <c r="T55" s="85" t="str">
        <f aca="false">IF(ISBLANK(F55),"",ROUND(S55*10*G55,0)/10/G55)</f>
        <v/>
      </c>
      <c r="U55" s="86" t="str">
        <f aca="false">IF(F55&gt;0,(AJ55-E55)/2,"")</f>
        <v/>
      </c>
      <c r="V55" s="86" t="str">
        <f aca="false">IF(F55&gt;0,AN55,"")</f>
        <v/>
      </c>
      <c r="W55" s="87" t="str">
        <f aca="false">IF(F55&gt;0,IF(U55&lt;Paramètres!$B$5,"!!!",""),"")</f>
        <v/>
      </c>
      <c r="X55" s="88" t="str">
        <f aca="false">IF(U55&lt;&gt;"",IF(U55/3&gt;=Paramètres!$B$5,(S55-E55)/2/3,""),"")</f>
        <v/>
      </c>
      <c r="Y55" s="88" t="str">
        <f aca="false">IF(U55&lt;&gt;"",IF(U55/3&gt;=Paramètres!$B$5,AV55,""),"")</f>
        <v/>
      </c>
      <c r="Z55" s="88" t="str">
        <f aca="false">IF(X55&lt;&gt;"",Y55*2,"")</f>
        <v/>
      </c>
      <c r="AB55" s="1"/>
      <c r="AC55" s="79" t="str">
        <f aca="false">INDEX('Charge de rupture par diamètre'!$C$1:$AC$1,AR55)</f>
        <v>Stephen Paulello France</v>
      </c>
      <c r="AD55" s="13" t="n">
        <f aca="false">IF(ISBLANK(D55),"-",$A$4/16 * 2^((C55-1)/12))</f>
        <v>311.126983722081</v>
      </c>
      <c r="AE55" s="13" t="n">
        <f aca="false">AG55/(AG$9*SQRT(1+$L55*AG$9^2))</f>
        <v>311.046339302578</v>
      </c>
      <c r="AF55" s="13" t="n">
        <f aca="false">$AE55*AF$9*SQRT(1+$L55*AF$9^2)</f>
        <v>622.399028005749</v>
      </c>
      <c r="AG55" s="13" t="n">
        <f aca="false">$AE$7*AG54</f>
        <v>311.084640048424</v>
      </c>
      <c r="AH55" s="19" t="n">
        <f aca="false">IF(AND(C55&gt;12,F43="",AD55&gt;$A$4),AH43*2*(1+N43),IF(AD55&gt;=$A$4/2,AD55,AD55))</f>
        <v>311.126983722081</v>
      </c>
      <c r="AI55" s="19" t="n">
        <f aca="false">IF(AND(C55&gt;12,F43="",AD55&gt;$A$4),AH43*2*(1+N43),IF(AD55&gt;=$A$4/2,AD55,AH67/2/(1+N55)))</f>
        <v>311.126983722081</v>
      </c>
      <c r="AJ55" s="85" t="n">
        <f aca="false">IF(Q55&gt;0,((R55*10^12/PI()/A55^2/D55^2-Paramètres!$B$7*E55^2)*4/PI()/Paramètres!$B$8+E55^2)^0.5,"")</f>
        <v>0.879207449495472</v>
      </c>
      <c r="AK55" s="12" t="n">
        <f aca="false">PI()*Paramètres!$B$7*(E55*A55*D55)^2/10^12</f>
        <v>709.915948630588</v>
      </c>
      <c r="AL55" s="12" t="n">
        <f aca="false">AK55*G55</f>
        <v>2129.74784589176</v>
      </c>
      <c r="AM55" s="80" t="n">
        <f aca="false">AK55/AT55</f>
        <v>0.625614407253217</v>
      </c>
      <c r="AN55" s="85" t="n">
        <f aca="false">(-E55+0.1*Paramètres!$B$7/E55/Paramètres!$B$8/PI()*(AW55^2-E55^2)+(E55^2+3.8*Paramètres!$B$7/Paramètres!$B$8/PI()*(AW55^2-E55^2))^0.5)/2</f>
        <v>-0.0103844383422584</v>
      </c>
      <c r="AO55" s="85" t="n">
        <f aca="false">VLOOKUP(C55,Paramètres!$C$30:$F$37,2,1)</f>
        <v>0.5</v>
      </c>
      <c r="AP55" s="85" t="n">
        <f aca="false">VLOOKUP(C55,Paramètres!$C$30:$F$37,4,1)</f>
        <v>0.65</v>
      </c>
      <c r="AQ55" s="11" t="b">
        <f aca="false">AND(I55&gt;=AO55,I55&lt;=AP55)</f>
        <v>1</v>
      </c>
      <c r="AR55" s="12" t="n">
        <f aca="false">HLOOKUP(H55,'Charge de rupture par diamètre'!$D$16:$AC$17,2,0)</f>
        <v>3</v>
      </c>
      <c r="AS55" s="12" t="n">
        <f aca="false">VLOOKUP(E55,'Charge de rupture par diamètre'!$C$16:$AC$53,AR55,1)</f>
        <v>1513</v>
      </c>
      <c r="AT55" s="12" t="n">
        <f aca="false">AS55*Paramètres!$B$9</f>
        <v>1134.75</v>
      </c>
      <c r="AU55" s="79" t="n">
        <f aca="false">PI()*A55^2*D55^2*(Paramètres!$B$7*E55^2+Paramètres!$B$8*PI()/4*(F55^2-E55^2))/10^12</f>
        <v>73.5086272674863</v>
      </c>
      <c r="AV55" s="13" t="n">
        <f aca="false">0.183*(-E55+(E55^2+4*Paramètres!$B$7/PI()/Paramètres!$B$8*(AW55^2-E55^2))^0.5)</f>
        <v>-0.00380503674232856</v>
      </c>
      <c r="AW55" s="85" t="n">
        <f aca="false">(R55/PI()/Paramètres!$B$7)^0.5/A55/D55*10^6</f>
        <v>0.881383191239233</v>
      </c>
      <c r="AX55" s="12" t="e">
        <f aca="false">Q55*VLOOKUP(H55,Paramètres!$B$15:$C$18,2,0)*Paramètres!$B$9</f>
        <v>#N/A</v>
      </c>
      <c r="AY55" s="13" t="e">
        <f aca="false">(AX55/PI()/Paramètres!$B$7)^0.5/A55/D55*10^6</f>
        <v>#N/A</v>
      </c>
      <c r="AZ55" s="12" t="n">
        <f aca="false">(IF(F55&gt;0,(F55*F55 -E55*E55)/Paramètres!$B$7*Paramètres!$B$8,0)+E55*E55)*D55*G55</f>
        <v>1472.58</v>
      </c>
      <c r="BA55" s="80" t="n">
        <f aca="false">-1+AZ55/AZ54</f>
        <v>-0.0441640378548899</v>
      </c>
      <c r="BB55" s="80" t="n">
        <f aca="false">IF(F55&gt;0,"",0.234*Paramètres!$B$12*10^9*IF(F55&gt;0,E55,E55)^2/Paramètres!$B$7/A55^2/D55^4*10^6)</f>
        <v>0.000373710203828717</v>
      </c>
      <c r="BC55" s="11" t="n">
        <v>2</v>
      </c>
      <c r="BD55" s="80" t="n">
        <f aca="false">BC55*SQRT(1+L55*BC55^2)-BC55</f>
        <v>0.000984899553163832</v>
      </c>
      <c r="BE55" s="11" t="str">
        <f aca="false">IF(F55&gt;0,PI()^2*Paramètres!$B$12*10^9/8/O55*(E55^4+E55^2*F55^2)*10^-12/D55^2/10^-6,"-")</f>
        <v>-</v>
      </c>
      <c r="BF55" s="11" t="n">
        <f aca="false">IF(ISBLANK(D55),"-",PI()^3*E55^4*Paramètres!$B$12*10^9/64/O55/(D55/1000)^2*10^-12)</f>
        <v>0.000246285514986639</v>
      </c>
      <c r="BG55" s="90" t="n">
        <f aca="false">(Paramètres!$B$12*10^9)^0.5/Paramètres!$B$7/2/D55*1000</f>
        <v>47.2392950626311</v>
      </c>
    </row>
    <row r="56" customFormat="false" ht="12.8" hidden="false" customHeight="false" outlineLevel="0" collapsed="false">
      <c r="A56" s="79" t="n">
        <f aca="false">IF(ISBLANK(D56),"-",IF(AND($A$6,$A$4/2&lt;AD56),AG56,AD56))</f>
        <v>329.590171855918</v>
      </c>
      <c r="B56" s="79" t="str">
        <f aca="false">IF(ISBLANK(D56),"",VLOOKUP(MOD(C56-Paramètres!$B$54,12)+1,Paramètres!$B$40:$C$52,2)&amp;" "&amp;(TRUNC((C56-Paramètres!$B$54+120)/12)-10+1))</f>
        <v>Mi 3</v>
      </c>
      <c r="C56" s="11" t="n">
        <f aca="false">IF(ISBLANK(D56),"",C55+1)</f>
        <v>44</v>
      </c>
      <c r="D56" s="25" t="n">
        <v>575</v>
      </c>
      <c r="E56" s="6" t="n">
        <v>0.9</v>
      </c>
      <c r="F56" s="6"/>
      <c r="G56" s="25" t="n">
        <v>3</v>
      </c>
      <c r="H56" s="25" t="s">
        <v>73</v>
      </c>
      <c r="I56" s="80" t="n">
        <f aca="false">IF(ISBLANK(D56),"",IF(F56&gt;0,AU56/AT56,AM56))</f>
        <v>0.632249583636139</v>
      </c>
      <c r="J56" s="81" t="str">
        <f aca="false">IF(ISBLANK(D56),"",IF(AQ56,"","]"&amp;AO56&amp;" -- "&amp;AP56&amp;"["))</f>
        <v/>
      </c>
      <c r="K56" s="80" t="n">
        <f aca="false">IF(ISBLANK(D56),"",BA56)</f>
        <v>-0.0511551155115509</v>
      </c>
      <c r="L56" s="82" t="n">
        <f aca="false">IF(ISBLANK(D56),"",IF(F56&gt;0,BF56,BF56))</f>
        <v>0.00027068651360953</v>
      </c>
      <c r="M56" s="80" t="n">
        <f aca="false">IF(ISBLANK(D56),"",IF(F56&gt;0,"-",N56/(2^(1/12)-1)))</f>
        <v>0.00682826507414719</v>
      </c>
      <c r="N56" s="83" t="n">
        <f aca="false">IF(ISBLANK(D56),"",IF(F56&gt;0,"-",1.5*L56))</f>
        <v>0.000406029770414295</v>
      </c>
      <c r="O56" s="12" t="n">
        <f aca="false">IF(ISBLANK(D56),"",IF(F56&gt;0,AU56,AK56))</f>
        <v>717.445215031108</v>
      </c>
      <c r="P56" s="12" t="n">
        <f aca="false">IF(ISBLANK(D56),"",IF(F56&gt;0,AU56*G56,AL56))</f>
        <v>2152.33564509333</v>
      </c>
      <c r="Q56" s="84" t="n">
        <v>0.6</v>
      </c>
      <c r="R56" s="12" t="n">
        <f aca="false">IF(ISBLANK(D56),"",AT56*Q56)</f>
        <v>680.85</v>
      </c>
      <c r="S56" s="13" t="n">
        <f aca="false">IF(ISBLANK(D56),"",AJ56)</f>
        <v>0.874020322604229</v>
      </c>
      <c r="T56" s="85" t="str">
        <f aca="false">IF(ISBLANK(F56),"",ROUND(S56*10*G56,0)/10/G56)</f>
        <v/>
      </c>
      <c r="U56" s="86" t="str">
        <f aca="false">IF(F56&gt;0,(AJ56-E56)/2,"")</f>
        <v/>
      </c>
      <c r="V56" s="86" t="str">
        <f aca="false">IF(F56&gt;0,AN56,"")</f>
        <v/>
      </c>
      <c r="W56" s="87" t="str">
        <f aca="false">IF(F56&gt;0,IF(U56&lt;Paramètres!$B$5,"!!!",""),"")</f>
        <v/>
      </c>
      <c r="X56" s="88" t="str">
        <f aca="false">IF(U56&lt;&gt;"",IF(U56/3&gt;=Paramètres!$B$5,(S56-E56)/2/3,""),"")</f>
        <v/>
      </c>
      <c r="Y56" s="88" t="str">
        <f aca="false">IF(U56&lt;&gt;"",IF(U56/3&gt;=Paramètres!$B$5,AV56,""),"")</f>
        <v/>
      </c>
      <c r="Z56" s="88" t="str">
        <f aca="false">IF(X56&lt;&gt;"",Y56*2,"")</f>
        <v/>
      </c>
      <c r="AB56" s="1"/>
      <c r="AC56" s="79" t="str">
        <f aca="false">INDEX('Charge de rupture par diamètre'!$C$1:$AC$1,AR56)</f>
        <v>Stephen Paulello France</v>
      </c>
      <c r="AD56" s="13" t="n">
        <f aca="false">IF(ISBLANK(D56),"-",$A$4/16 * 2^((C56-1)/12))</f>
        <v>329.62755691287</v>
      </c>
      <c r="AE56" s="13" t="n">
        <f aca="false">AG56/(AG$9*SQRT(1+$L56*AG$9^2))</f>
        <v>329.545573102655</v>
      </c>
      <c r="AF56" s="13" t="n">
        <f aca="false">$AE56*AF$9*SQRT(1+$L56*AF$9^2)</f>
        <v>659.447863841813</v>
      </c>
      <c r="AG56" s="13" t="n">
        <f aca="false">$AE$7*AG55</f>
        <v>329.590171855918</v>
      </c>
      <c r="AH56" s="19" t="n">
        <f aca="false">IF(AND(C56&gt;12,F44="",AD56&gt;$A$4),AH44*2*(1+N44),IF(AD56&gt;=$A$4/2,AD56,AD56))</f>
        <v>329.62755691287</v>
      </c>
      <c r="AI56" s="19" t="n">
        <f aca="false">IF(AND(C56&gt;12,F44="",AD56&gt;$A$4),AH44*2*(1+N44),IF(AD56&gt;=$A$4/2,AD56,AH68/2/(1+N56)))</f>
        <v>329.62755691287</v>
      </c>
      <c r="AJ56" s="85" t="n">
        <f aca="false">IF(Q56&gt;0,((R56*10^12/PI()/A56^2/D56^2-Paramètres!$B$7*E56^2)*4/PI()/Paramètres!$B$8+E56^2)^0.5,"")</f>
        <v>0.874020322604229</v>
      </c>
      <c r="AK56" s="12" t="n">
        <f aca="false">PI()*Paramètres!$B$7*(E56*A56*D56)^2/10^12</f>
        <v>717.445215031108</v>
      </c>
      <c r="AL56" s="12" t="n">
        <f aca="false">AK56*G56</f>
        <v>2152.33564509333</v>
      </c>
      <c r="AM56" s="80" t="n">
        <f aca="false">AK56/AT56</f>
        <v>0.632249583636139</v>
      </c>
      <c r="AN56" s="85" t="n">
        <f aca="false">(-E56+0.1*Paramètres!$B$7/E56/Paramètres!$B$8/PI()*(AW56^2-E56^2)+(E56^2+3.8*Paramètres!$B$7/Paramètres!$B$8/PI()*(AW56^2-E56^2))^0.5)/2</f>
        <v>-0.0129713079685585</v>
      </c>
      <c r="AO56" s="85" t="n">
        <f aca="false">VLOOKUP(C56,Paramètres!$C$30:$F$37,2,1)</f>
        <v>0.5</v>
      </c>
      <c r="AP56" s="85" t="n">
        <f aca="false">VLOOKUP(C56,Paramètres!$C$30:$F$37,4,1)</f>
        <v>0.65</v>
      </c>
      <c r="AQ56" s="11" t="b">
        <f aca="false">AND(I56&gt;=AO56,I56&lt;=AP56)</f>
        <v>1</v>
      </c>
      <c r="AR56" s="12" t="n">
        <f aca="false">HLOOKUP(H56,'Charge de rupture par diamètre'!$D$16:$AC$17,2,0)</f>
        <v>3</v>
      </c>
      <c r="AS56" s="12" t="n">
        <f aca="false">VLOOKUP(E56,'Charge de rupture par diamètre'!$C$16:$AC$53,AR56,1)</f>
        <v>1513</v>
      </c>
      <c r="AT56" s="12" t="n">
        <f aca="false">AS56*Paramètres!$B$9</f>
        <v>1134.75</v>
      </c>
      <c r="AU56" s="79" t="n">
        <f aca="false">PI()*A56^2*D56^2*(Paramètres!$B$7*E56^2+Paramètres!$B$8*PI()/4*(F56^2-E56^2))/10^12</f>
        <v>74.2882491910409</v>
      </c>
      <c r="AV56" s="13" t="n">
        <f aca="false">0.183*(-E56+(E56^2+4*Paramètres!$B$7/PI()/Paramètres!$B$8*(AW56^2-E56^2))^0.5)</f>
        <v>-0.00475428096342609</v>
      </c>
      <c r="AW56" s="85" t="n">
        <f aca="false">(R56/PI()/Paramètres!$B$7)^0.5/A56/D56*10^6</f>
        <v>0.876746132145865</v>
      </c>
      <c r="AX56" s="12" t="e">
        <f aca="false">Q56*VLOOKUP(H56,Paramètres!$B$15:$C$18,2,0)*Paramètres!$B$9</f>
        <v>#N/A</v>
      </c>
      <c r="AY56" s="13" t="e">
        <f aca="false">(AX56/PI()/Paramètres!$B$7)^0.5/A56/D56*10^6</f>
        <v>#N/A</v>
      </c>
      <c r="AZ56" s="12" t="n">
        <f aca="false">(IF(F56&gt;0,(F56*F56 -E56*E56)/Paramètres!$B$7*Paramètres!$B$8,0)+E56*E56)*D56*G56</f>
        <v>1397.25</v>
      </c>
      <c r="BA56" s="80" t="n">
        <f aca="false">-1+AZ56/AZ55</f>
        <v>-0.0511551155115509</v>
      </c>
      <c r="BB56" s="80" t="n">
        <f aca="false">IF(F56&gt;0,"",0.234*Paramètres!$B$12*10^9*IF(F56&gt;0,E56,E56)^2/Paramètres!$B$7/A56^2/D56^4*10^6)</f>
        <v>0.000410735938653112</v>
      </c>
      <c r="BC56" s="11" t="n">
        <v>2</v>
      </c>
      <c r="BD56" s="80" t="n">
        <f aca="false">BC56*SQRT(1+L56*BC56^2)-BC56</f>
        <v>0.00108245312824451</v>
      </c>
      <c r="BE56" s="11" t="str">
        <f aca="false">IF(F56&gt;0,PI()^2*Paramètres!$B$12*10^9/8/O56*(E56^4+E56^2*F56^2)*10^-12/D56^2/10^-6,"-")</f>
        <v>-</v>
      </c>
      <c r="BF56" s="11" t="n">
        <f aca="false">IF(ISBLANK(D56),"-",PI()^3*E56^4*Paramètres!$B$12*10^9/64/O56/(D56/1000)^2*10^-12)</f>
        <v>0.00027068651360953</v>
      </c>
      <c r="BG56" s="90" t="n">
        <f aca="false">(Paramètres!$B$12*10^9)^0.5/Paramètres!$B$7/2/D56*1000</f>
        <v>49.7861092312251</v>
      </c>
    </row>
    <row r="57" customFormat="false" ht="12.8" hidden="false" customHeight="false" outlineLevel="0" collapsed="false">
      <c r="A57" s="79" t="n">
        <f aca="false">IF(ISBLANK(D57),"-",IF(AND($A$6,$A$4/2&lt;AD57),AG57,AD57))</f>
        <v>349.196544603115</v>
      </c>
      <c r="B57" s="79" t="str">
        <f aca="false">IF(ISBLANK(D57),"",VLOOKUP(MOD(C57-Paramètres!$B$54,12)+1,Paramètres!$B$40:$C$52,2)&amp;" "&amp;(TRUNC((C57-Paramètres!$B$54+120)/12)-10+1))</f>
        <v>Fa 3</v>
      </c>
      <c r="C57" s="11" t="n">
        <f aca="false">IF(ISBLANK(D57),"",C56+1)</f>
        <v>45</v>
      </c>
      <c r="D57" s="25" t="n">
        <v>546</v>
      </c>
      <c r="E57" s="6" t="n">
        <v>0.9</v>
      </c>
      <c r="F57" s="6"/>
      <c r="G57" s="25" t="n">
        <v>3</v>
      </c>
      <c r="H57" s="25" t="s">
        <v>73</v>
      </c>
      <c r="I57" s="80" t="n">
        <f aca="false">IF(ISBLANK(D57),"",IF(F57&gt;0,AU57/AT57,AM57))</f>
        <v>0.639925648886271</v>
      </c>
      <c r="J57" s="81" t="str">
        <f aca="false">IF(ISBLANK(D57),"",IF(AQ57,"","]"&amp;AO57&amp;" -- "&amp;AP57&amp;"["))</f>
        <v/>
      </c>
      <c r="K57" s="80" t="n">
        <f aca="false">IF(ISBLANK(D57),"",BA57)</f>
        <v>-0.0504347826086957</v>
      </c>
      <c r="L57" s="82" t="n">
        <f aca="false">IF(ISBLANK(D57),"",IF(F57&gt;0,BF57,BF57))</f>
        <v>0.000296603353487386</v>
      </c>
      <c r="M57" s="80" t="n">
        <f aca="false">IF(ISBLANK(D57),"",IF(F57&gt;0,"-",N57/(2^(1/12)-1)))</f>
        <v>0.00748203629536699</v>
      </c>
      <c r="N57" s="83" t="n">
        <f aca="false">IF(ISBLANK(D57),"",IF(F57&gt;0,"-",1.5*L57))</f>
        <v>0.000444905030231079</v>
      </c>
      <c r="O57" s="12" t="n">
        <f aca="false">IF(ISBLANK(D57),"",IF(F57&gt;0,AU57,AK57))</f>
        <v>726.155630073696</v>
      </c>
      <c r="P57" s="12" t="n">
        <f aca="false">IF(ISBLANK(D57),"",IF(F57&gt;0,AU57*G57,AL57))</f>
        <v>2178.46689022109</v>
      </c>
      <c r="Q57" s="84" t="n">
        <v>0.6</v>
      </c>
      <c r="R57" s="12" t="n">
        <f aca="false">IF(ISBLANK(D57),"",AT57*Q57)</f>
        <v>680.85</v>
      </c>
      <c r="S57" s="13" t="n">
        <f aca="false">IF(ISBLANK(D57),"",AJ57)</f>
        <v>0.868116321808073</v>
      </c>
      <c r="T57" s="85" t="str">
        <f aca="false">IF(ISBLANK(F57),"",ROUND(S57*10*G57,0)/10/G57)</f>
        <v/>
      </c>
      <c r="U57" s="86" t="str">
        <f aca="false">IF(F57&gt;0,(AJ57-E57)/2,"")</f>
        <v/>
      </c>
      <c r="V57" s="86" t="str">
        <f aca="false">IF(F57&gt;0,AN57,"")</f>
        <v/>
      </c>
      <c r="W57" s="87" t="str">
        <f aca="false">IF(F57&gt;0,IF(U57&lt;Paramètres!$B$5,"!!!",""),"")</f>
        <v/>
      </c>
      <c r="X57" s="88" t="str">
        <f aca="false">IF(U57&lt;&gt;"",IF(U57/3&gt;=Paramètres!$B$5,(S57-E57)/2/3,""),"")</f>
        <v/>
      </c>
      <c r="Y57" s="88" t="str">
        <f aca="false">IF(U57&lt;&gt;"",IF(U57/3&gt;=Paramètres!$B$5,AV57,""),"")</f>
        <v/>
      </c>
      <c r="Z57" s="88" t="str">
        <f aca="false">IF(X57&lt;&gt;"",Y57*2,"")</f>
        <v/>
      </c>
      <c r="AB57" s="1"/>
      <c r="AC57" s="79" t="str">
        <f aca="false">INDEX('Charge de rupture par diamètre'!$C$1:$AC$1,AR57)</f>
        <v>Stephen Paulello France</v>
      </c>
      <c r="AD57" s="13" t="n">
        <f aca="false">IF(ISBLANK(D57),"-",$A$4/16 * 2^((C57-1)/12))</f>
        <v>349.228231433004</v>
      </c>
      <c r="AE57" s="13" t="n">
        <f aca="false">AG57/(AG$9*SQRT(1+$L57*AG$9^2))</f>
        <v>349.144769687213</v>
      </c>
      <c r="AF57" s="13" t="n">
        <f aca="false">$AE57*AF$9*SQRT(1+$L57*AF$9^2)</f>
        <v>698.703646623403</v>
      </c>
      <c r="AG57" s="13" t="n">
        <f aca="false">$AE$7*AG56</f>
        <v>349.196544603115</v>
      </c>
      <c r="AH57" s="19" t="n">
        <f aca="false">IF(AND(C57&gt;12,F45="",AD57&gt;$A$4),AH45*2*(1+N45),IF(AD57&gt;=$A$4/2,AD57,AD57))</f>
        <v>349.228231433004</v>
      </c>
      <c r="AI57" s="19" t="n">
        <f aca="false">IF(AND(C57&gt;12,F45="",AD57&gt;$A$4),AH45*2*(1+N45),IF(AD57&gt;=$A$4/2,AD57,AH69/2/(1+N57)))</f>
        <v>349.228231433004</v>
      </c>
      <c r="AJ57" s="85" t="n">
        <f aca="false">IF(Q57&gt;0,((R57*10^12/PI()/A57^2/D57^2-Paramètres!$B$7*E57^2)*4/PI()/Paramètres!$B$8+E57^2)^0.5,"")</f>
        <v>0.868116321808073</v>
      </c>
      <c r="AK57" s="12" t="n">
        <f aca="false">PI()*Paramètres!$B$7*(E57*A57*D57)^2/10^12</f>
        <v>726.155630073696</v>
      </c>
      <c r="AL57" s="12" t="n">
        <f aca="false">AK57*G57</f>
        <v>2178.46689022109</v>
      </c>
      <c r="AM57" s="80" t="n">
        <f aca="false">AK57/AT57</f>
        <v>0.639925648886271</v>
      </c>
      <c r="AN57" s="85" t="n">
        <f aca="false">(-E57+0.1*Paramètres!$B$7/E57/Paramètres!$B$8/PI()*(AW57^2-E57^2)+(E57^2+3.8*Paramètres!$B$7/Paramètres!$B$8/PI()*(AW57^2-E57^2))^0.5)/2</f>
        <v>-0.0159138401040984</v>
      </c>
      <c r="AO57" s="85" t="n">
        <f aca="false">VLOOKUP(C57,Paramètres!$C$30:$F$37,2,1)</f>
        <v>0.5</v>
      </c>
      <c r="AP57" s="85" t="n">
        <f aca="false">VLOOKUP(C57,Paramètres!$C$30:$F$37,4,1)</f>
        <v>0.65</v>
      </c>
      <c r="AQ57" s="11" t="b">
        <f aca="false">AND(I57&gt;=AO57,I57&lt;=AP57)</f>
        <v>1</v>
      </c>
      <c r="AR57" s="12" t="n">
        <f aca="false">HLOOKUP(H57,'Charge de rupture par diamètre'!$D$16:$AC$17,2,0)</f>
        <v>3</v>
      </c>
      <c r="AS57" s="12" t="n">
        <f aca="false">VLOOKUP(E57,'Charge de rupture par diamètre'!$C$16:$AC$53,AR57,1)</f>
        <v>1513</v>
      </c>
      <c r="AT57" s="12" t="n">
        <f aca="false">AS57*Paramètres!$B$9</f>
        <v>1134.75</v>
      </c>
      <c r="AU57" s="79" t="n">
        <f aca="false">PI()*A57^2*D57^2*(Paramètres!$B$7*E57^2+Paramètres!$B$8*PI()/4*(F57^2-E57^2))/10^12</f>
        <v>75.1901737835871</v>
      </c>
      <c r="AV57" s="13" t="n">
        <f aca="false">0.183*(-E57+(E57^2+4*Paramètres!$B$7/PI()/Paramètres!$B$8*(AW57^2-E57^2))^0.5)</f>
        <v>-0.00583471310912269</v>
      </c>
      <c r="AW57" s="85" t="n">
        <f aca="false">(R57/PI()/Paramètres!$B$7)^0.5/A57/D57*10^6</f>
        <v>0.871471875386116</v>
      </c>
      <c r="AX57" s="12" t="e">
        <f aca="false">Q57*VLOOKUP(H57,Paramètres!$B$15:$C$18,2,0)*Paramètres!$B$9</f>
        <v>#N/A</v>
      </c>
      <c r="AY57" s="13" t="e">
        <f aca="false">(AX57/PI()/Paramètres!$B$7)^0.5/A57/D57*10^6</f>
        <v>#N/A</v>
      </c>
      <c r="AZ57" s="12" t="n">
        <f aca="false">(IF(F57&gt;0,(F57*F57 -E57*E57)/Paramètres!$B$7*Paramètres!$B$8,0)+E57*E57)*D57*G57</f>
        <v>1326.78</v>
      </c>
      <c r="BA57" s="80" t="n">
        <f aca="false">-1+AZ57/AZ56</f>
        <v>-0.0504347826086957</v>
      </c>
      <c r="BB57" s="80" t="n">
        <f aca="false">IF(F57&gt;0,"",0.234*Paramètres!$B$12*10^9*IF(F57&gt;0,E57,E57)^2/Paramètres!$B$7/A57^2/D57^4*10^6)</f>
        <v>0.000450061789846087</v>
      </c>
      <c r="BC57" s="11" t="n">
        <v>2</v>
      </c>
      <c r="BD57" s="80" t="n">
        <f aca="false">BC57*SQRT(1+L57*BC57^2)-BC57</f>
        <v>0.0011860617283439</v>
      </c>
      <c r="BE57" s="11" t="str">
        <f aca="false">IF(F57&gt;0,PI()^2*Paramètres!$B$12*10^9/8/O57*(E57^4+E57^2*F57^2)*10^-12/D57^2/10^-6,"-")</f>
        <v>-</v>
      </c>
      <c r="BF57" s="11" t="n">
        <f aca="false">IF(ISBLANK(D57),"-",PI()^3*E57^4*Paramètres!$B$12*10^9/64/O57/(D57/1000)^2*10^-12)</f>
        <v>0.000296603353487386</v>
      </c>
      <c r="BG57" s="90" t="n">
        <f aca="false">(Paramètres!$B$12*10^9)^0.5/Paramètres!$B$7/2/D57*1000</f>
        <v>52.4304263881949</v>
      </c>
    </row>
    <row r="58" customFormat="false" ht="12.8" hidden="false" customHeight="false" outlineLevel="0" collapsed="false">
      <c r="A58" s="79" t="n">
        <f aca="false">IF(ISBLANK(D58),"-",IF(AND($A$6,$A$4/2&lt;AD58),AG58,AD58))</f>
        <v>369.969244155925</v>
      </c>
      <c r="B58" s="79" t="str">
        <f aca="false">IF(ISBLANK(D58),"",VLOOKUP(MOD(C58-Paramètres!$B$54,12)+1,Paramètres!$B$40:$C$52,2)&amp;" "&amp;(TRUNC((C58-Paramètres!$B$54+120)/12)-10+1))</f>
        <v>Fa# 3</v>
      </c>
      <c r="C58" s="11" t="n">
        <f aca="false">IF(ISBLANK(D58),"",C57+1)</f>
        <v>46</v>
      </c>
      <c r="D58" s="25" t="n">
        <v>515</v>
      </c>
      <c r="E58" s="6" t="n">
        <v>0.9</v>
      </c>
      <c r="F58" s="6"/>
      <c r="G58" s="25" t="n">
        <v>3</v>
      </c>
      <c r="H58" s="25" t="s">
        <v>73</v>
      </c>
      <c r="I58" s="80" t="n">
        <f aca="false">IF(ISBLANK(D58),"",IF(F58&gt;0,AU58/AT58,AM58))</f>
        <v>0.639072396754586</v>
      </c>
      <c r="J58" s="81" t="str">
        <f aca="false">IF(ISBLANK(D58),"",IF(AQ58,"","]"&amp;AO58&amp;" -- "&amp;AP58&amp;"["))</f>
        <v/>
      </c>
      <c r="K58" s="80" t="n">
        <f aca="false">IF(ISBLANK(D58),"",BA58)</f>
        <v>-0.0567765567765569</v>
      </c>
      <c r="L58" s="82" t="n">
        <f aca="false">IF(ISBLANK(D58),"",IF(F58&gt;0,BF58,BF58))</f>
        <v>0.000333830753101977</v>
      </c>
      <c r="M58" s="80" t="n">
        <f aca="false">IF(ISBLANK(D58),"",IF(F58&gt;0,"-",N58/(2^(1/12)-1)))</f>
        <v>0.00842112464964059</v>
      </c>
      <c r="N58" s="83" t="n">
        <f aca="false">IF(ISBLANK(D58),"",IF(F58&gt;0,"-",1.5*L58))</f>
        <v>0.000500746129652966</v>
      </c>
      <c r="O58" s="12" t="n">
        <f aca="false">IF(ISBLANK(D58),"",IF(F58&gt;0,AU58,AK58))</f>
        <v>725.187402217266</v>
      </c>
      <c r="P58" s="12" t="n">
        <f aca="false">IF(ISBLANK(D58),"",IF(F58&gt;0,AU58*G58,AL58))</f>
        <v>2175.5622066518</v>
      </c>
      <c r="Q58" s="84" t="n">
        <v>0.6</v>
      </c>
      <c r="R58" s="12" t="n">
        <f aca="false">IF(ISBLANK(D58),"",AT58*Q58)</f>
        <v>680.85</v>
      </c>
      <c r="S58" s="13" t="n">
        <f aca="false">IF(ISBLANK(D58),"",AJ58)</f>
        <v>0.868767552794495</v>
      </c>
      <c r="T58" s="85" t="str">
        <f aca="false">IF(ISBLANK(F58),"",ROUND(S58*10*G58,0)/10/G58)</f>
        <v/>
      </c>
      <c r="U58" s="86" t="str">
        <f aca="false">IF(F58&gt;0,(AJ58-E58)/2,"")</f>
        <v/>
      </c>
      <c r="V58" s="86" t="str">
        <f aca="false">IF(F58&gt;0,AN58,"")</f>
        <v/>
      </c>
      <c r="W58" s="87" t="str">
        <f aca="false">IF(F58&gt;0,IF(U58&lt;Paramètres!$B$5,"!!!",""),"")</f>
        <v/>
      </c>
      <c r="X58" s="88" t="str">
        <f aca="false">IF(U58&lt;&gt;"",IF(U58/3&gt;=Paramètres!$B$5,(S58-E58)/2/3,""),"")</f>
        <v/>
      </c>
      <c r="Y58" s="88" t="str">
        <f aca="false">IF(U58&lt;&gt;"",IF(U58/3&gt;=Paramètres!$B$5,AV58,""),"")</f>
        <v/>
      </c>
      <c r="Z58" s="88" t="str">
        <f aca="false">IF(X58&lt;&gt;"",Y58*2,"")</f>
        <v/>
      </c>
      <c r="AB58" s="1"/>
      <c r="AC58" s="79" t="str">
        <f aca="false">INDEX('Charge de rupture par diamètre'!$C$1:$AC$1,AR58)</f>
        <v>Stephen Paulello France</v>
      </c>
      <c r="AD58" s="13" t="n">
        <f aca="false">IF(ISBLANK(D58),"-",$A$4/16 * 2^((C58-1)/12))</f>
        <v>369.994422711634</v>
      </c>
      <c r="AE58" s="13" t="n">
        <f aca="false">AG58/(AG$9*SQRT(1+$L58*AG$9^2))</f>
        <v>369.907506057352</v>
      </c>
      <c r="AF58" s="13" t="n">
        <f aca="false">$AE58*AF$9*SQRT(1+$L58*AF$9^2)</f>
        <v>740.308793335639</v>
      </c>
      <c r="AG58" s="13" t="n">
        <f aca="false">$AE$7*AG57</f>
        <v>369.969244155925</v>
      </c>
      <c r="AH58" s="19" t="n">
        <f aca="false">IF(AND(C58&gt;12,F46="",AD58&gt;$A$4),AH46*2*(1+N46),IF(AD58&gt;=$A$4/2,AD58,AD58))</f>
        <v>369.994422711634</v>
      </c>
      <c r="AI58" s="19" t="n">
        <f aca="false">IF(AND(C58&gt;12,F46="",AD58&gt;$A$4),AH46*2*(1+N46),IF(AD58&gt;=$A$4/2,AD58,AH70/2/(1+N58)))</f>
        <v>369.994422711634</v>
      </c>
      <c r="AJ58" s="85" t="n">
        <f aca="false">IF(Q58&gt;0,((R58*10^12/PI()/A58^2/D58^2-Paramètres!$B$7*E58^2)*4/PI()/Paramètres!$B$8+E58^2)^0.5,"")</f>
        <v>0.868767552794495</v>
      </c>
      <c r="AK58" s="12" t="n">
        <f aca="false">PI()*Paramètres!$B$7*(E58*A58*D58)^2/10^12</f>
        <v>725.187402217266</v>
      </c>
      <c r="AL58" s="12" t="n">
        <f aca="false">AK58*G58</f>
        <v>2175.5622066518</v>
      </c>
      <c r="AM58" s="80" t="n">
        <f aca="false">AK58/AT58</f>
        <v>0.639072396754586</v>
      </c>
      <c r="AN58" s="85" t="n">
        <f aca="false">(-E58+0.1*Paramètres!$B$7/E58/Paramètres!$B$8/PI()*(AW58^2-E58^2)+(E58^2+3.8*Paramètres!$B$7/Paramètres!$B$8/PI()*(AW58^2-E58^2))^0.5)/2</f>
        <v>-0.0155893661595746</v>
      </c>
      <c r="AO58" s="85" t="n">
        <f aca="false">VLOOKUP(C58,Paramètres!$C$30:$F$37,2,1)</f>
        <v>0.5</v>
      </c>
      <c r="AP58" s="85" t="n">
        <f aca="false">VLOOKUP(C58,Paramètres!$C$30:$F$37,4,1)</f>
        <v>0.65</v>
      </c>
      <c r="AQ58" s="11" t="b">
        <f aca="false">AND(I58&gt;=AO58,I58&lt;=AP58)</f>
        <v>1</v>
      </c>
      <c r="AR58" s="12" t="n">
        <f aca="false">HLOOKUP(H58,'Charge de rupture par diamètre'!$D$16:$AC$17,2,0)</f>
        <v>3</v>
      </c>
      <c r="AS58" s="12" t="n">
        <f aca="false">VLOOKUP(E58,'Charge de rupture par diamètre'!$C$16:$AC$53,AR58,1)</f>
        <v>1513</v>
      </c>
      <c r="AT58" s="12" t="n">
        <f aca="false">AS58*Paramètres!$B$9</f>
        <v>1134.75</v>
      </c>
      <c r="AU58" s="79" t="n">
        <f aca="false">PI()*A58^2*D58^2*(Paramètres!$B$7*E58^2+Paramètres!$B$8*PI()/4*(F58^2-E58^2))/10^12</f>
        <v>75.0899181114253</v>
      </c>
      <c r="AV58" s="13" t="n">
        <f aca="false">0.183*(-E58+(E58^2+4*Paramètres!$B$7/PI()/Paramètres!$B$8*(AW58^2-E58^2))^0.5)</f>
        <v>-0.00571553783860752</v>
      </c>
      <c r="AW58" s="85" t="n">
        <f aca="false">(R58/PI()/Paramètres!$B$7)^0.5/A58/D58*10^6</f>
        <v>0.872053450499367</v>
      </c>
      <c r="AX58" s="12" t="e">
        <f aca="false">Q58*VLOOKUP(H58,Paramètres!$B$15:$C$18,2,0)*Paramètres!$B$9</f>
        <v>#N/A</v>
      </c>
      <c r="AY58" s="13" t="e">
        <f aca="false">(AX58/PI()/Paramètres!$B$7)^0.5/A58/D58*10^6</f>
        <v>#N/A</v>
      </c>
      <c r="AZ58" s="12" t="n">
        <f aca="false">(IF(F58&gt;0,(F58*F58 -E58*E58)/Paramètres!$B$7*Paramètres!$B$8,0)+E58*E58)*D58*G58</f>
        <v>1251.45</v>
      </c>
      <c r="BA58" s="80" t="n">
        <f aca="false">-1+AZ58/AZ57</f>
        <v>-0.0567765567765569</v>
      </c>
      <c r="BB58" s="80" t="n">
        <f aca="false">IF(F58&gt;0,"",0.234*Paramètres!$B$12*10^9*IF(F58&gt;0,E58,E58)^2/Paramètres!$B$7/A58^2/D58^4*10^6)</f>
        <v>0.000506550126558609</v>
      </c>
      <c r="BC58" s="11" t="n">
        <v>2</v>
      </c>
      <c r="BD58" s="80" t="n">
        <f aca="false">BC58*SQRT(1+L58*BC58^2)-BC58</f>
        <v>0.00133487753789785</v>
      </c>
      <c r="BE58" s="11" t="str">
        <f aca="false">IF(F58&gt;0,PI()^2*Paramètres!$B$12*10^9/8/O58*(E58^4+E58^2*F58^2)*10^-12/D58^2/10^-6,"-")</f>
        <v>-</v>
      </c>
      <c r="BF58" s="11" t="n">
        <f aca="false">IF(ISBLANK(D58),"-",PI()^3*E58^4*Paramètres!$B$12*10^9/64/O58/(D58/1000)^2*10^-12)</f>
        <v>0.000333830753101977</v>
      </c>
      <c r="BG58" s="90" t="n">
        <f aca="false">(Paramètres!$B$12*10^9)^0.5/Paramètres!$B$7/2/D58*1000</f>
        <v>55.5864326368047</v>
      </c>
    </row>
    <row r="59" customFormat="false" ht="12.8" hidden="false" customHeight="false" outlineLevel="0" collapsed="false">
      <c r="A59" s="79" t="n">
        <f aca="false">IF(ISBLANK(D59),"-",IF(AND($A$6,$A$4/2&lt;AD59),AG59,AD59))</f>
        <v>391.977651946346</v>
      </c>
      <c r="B59" s="79" t="str">
        <f aca="false">IF(ISBLANK(D59),"",VLOOKUP(MOD(C59-Paramètres!$B$54,12)+1,Paramètres!$B$40:$C$52,2)&amp;" "&amp;(TRUNC((C59-Paramètres!$B$54+120)/12)-10+1))</f>
        <v>Sol 3</v>
      </c>
      <c r="C59" s="11" t="n">
        <f aca="false">IF(ISBLANK(D59),"",C58+1)</f>
        <v>47</v>
      </c>
      <c r="D59" s="25" t="n">
        <v>456</v>
      </c>
      <c r="E59" s="6" t="n">
        <v>0.9</v>
      </c>
      <c r="F59" s="6"/>
      <c r="G59" s="25" t="n">
        <v>3</v>
      </c>
      <c r="H59" s="25" t="s">
        <v>73</v>
      </c>
      <c r="I59" s="80" t="n">
        <f aca="false">IF(ISBLANK(D59),"",IF(F59&gt;0,AU59/AT59,AM59))</f>
        <v>0.562414690759388</v>
      </c>
      <c r="J59" s="81" t="str">
        <f aca="false">IF(ISBLANK(D59),"",IF(AQ59,"","]"&amp;AO59&amp;" -- "&amp;AP59&amp;"["))</f>
        <v/>
      </c>
      <c r="K59" s="80" t="n">
        <f aca="false">IF(ISBLANK(D59),"",BA59)</f>
        <v>-0.114563106796117</v>
      </c>
      <c r="L59" s="82" t="n">
        <f aca="false">IF(ISBLANK(D59),"",IF(F59&gt;0,BF59,BF59))</f>
        <v>0.000483843062361662</v>
      </c>
      <c r="M59" s="80" t="n">
        <f aca="false">IF(ISBLANK(D59),"",IF(F59&gt;0,"-",N59/(2^(1/12)-1)))</f>
        <v>0.0122052947523583</v>
      </c>
      <c r="N59" s="83" t="n">
        <f aca="false">IF(ISBLANK(D59),"",IF(F59&gt;0,"-",1.5*L59))</f>
        <v>0.000725764593542493</v>
      </c>
      <c r="O59" s="12" t="n">
        <f aca="false">IF(ISBLANK(D59),"",IF(F59&gt;0,AU59,AK59))</f>
        <v>638.200070339215</v>
      </c>
      <c r="P59" s="12" t="n">
        <f aca="false">IF(ISBLANK(D59),"",IF(F59&gt;0,AU59*G59,AL59))</f>
        <v>1914.60021101765</v>
      </c>
      <c r="Q59" s="84" t="n">
        <v>0.6</v>
      </c>
      <c r="R59" s="12" t="n">
        <f aca="false">IF(ISBLANK(D59),"",AT59*Q59)</f>
        <v>680.85</v>
      </c>
      <c r="S59" s="13" t="n">
        <f aca="false">IF(ISBLANK(D59),"",AJ59)</f>
        <v>0.932943458282545</v>
      </c>
      <c r="T59" s="85" t="str">
        <f aca="false">IF(ISBLANK(F59),"",ROUND(S59*10*G59,0)/10/G59)</f>
        <v/>
      </c>
      <c r="U59" s="86" t="str">
        <f aca="false">IF(F59&gt;0,(AJ59-E59)/2,"")</f>
        <v/>
      </c>
      <c r="V59" s="86" t="str">
        <f aca="false">IF(F59&gt;0,AN59,"")</f>
        <v/>
      </c>
      <c r="W59" s="87" t="str">
        <f aca="false">IF(F59&gt;0,IF(U59&lt;Paramètres!$B$5,"!!!",""),"")</f>
        <v/>
      </c>
      <c r="X59" s="88" t="str">
        <f aca="false">IF(U59&lt;&gt;"",IF(U59/3&gt;=Paramètres!$B$5,(S59-E59)/2/3,""),"")</f>
        <v/>
      </c>
      <c r="Y59" s="88" t="str">
        <f aca="false">IF(U59&lt;&gt;"",IF(U59/3&gt;=Paramètres!$B$5,AV59,""),"")</f>
        <v/>
      </c>
      <c r="Z59" s="88" t="str">
        <f aca="false">IF(X59&lt;&gt;"",Y59*2,"")</f>
        <v/>
      </c>
      <c r="AB59" s="1"/>
      <c r="AC59" s="79" t="str">
        <f aca="false">INDEX('Charge de rupture par diamètre'!$C$1:$AC$1,AR59)</f>
        <v>Stephen Paulello France</v>
      </c>
      <c r="AD59" s="13" t="n">
        <f aca="false">IF(ISBLANK(D59),"-",$A$4/16 * 2^((C59-1)/12))</f>
        <v>391.995435981749</v>
      </c>
      <c r="AE59" s="13" t="n">
        <f aca="false">AG59/(AG$9*SQRT(1+$L59*AG$9^2))</f>
        <v>391.882858510072</v>
      </c>
      <c r="AF59" s="13" t="n">
        <f aca="false">$AE59*AF$9*SQRT(1+$L59*AF$9^2)</f>
        <v>784.523789618667</v>
      </c>
      <c r="AG59" s="13" t="n">
        <f aca="false">$AE$7*AG58</f>
        <v>391.977651946346</v>
      </c>
      <c r="AH59" s="19" t="n">
        <f aca="false">IF(AND(C59&gt;12,F47="",AD59&gt;$A$4),AH47*2*(1+N47),IF(AD59&gt;=$A$4/2,AD59,AD59))</f>
        <v>391.995435981749</v>
      </c>
      <c r="AI59" s="19" t="n">
        <f aca="false">IF(AND(C59&gt;12,F47="",AD59&gt;$A$4),AH47*2*(1+N47),IF(AD59&gt;=$A$4/2,AD59,AH71/2/(1+N59)))</f>
        <v>391.995435981749</v>
      </c>
      <c r="AJ59" s="85" t="n">
        <f aca="false">IF(Q59&gt;0,((R59*10^12/PI()/A59^2/D59^2-Paramètres!$B$7*E59^2)*4/PI()/Paramètres!$B$8+E59^2)^0.5,"")</f>
        <v>0.932943458282545</v>
      </c>
      <c r="AK59" s="12" t="n">
        <f aca="false">PI()*Paramètres!$B$7*(E59*A59*D59)^2/10^12</f>
        <v>638.200070339215</v>
      </c>
      <c r="AL59" s="12" t="n">
        <f aca="false">AK59*G59</f>
        <v>1914.60021101765</v>
      </c>
      <c r="AM59" s="80" t="n">
        <f aca="false">AK59/AT59</f>
        <v>0.562414690759388</v>
      </c>
      <c r="AN59" s="85" t="n">
        <f aca="false">(-E59+0.1*Paramètres!$B$7/E59/Paramètres!$B$8/PI()*(AW59^2-E59^2)+(E59^2+3.8*Paramètres!$B$7/Paramètres!$B$8/PI()*(AW59^2-E59^2))^0.5)/2</f>
        <v>0.0165006404941782</v>
      </c>
      <c r="AO59" s="85" t="n">
        <f aca="false">VLOOKUP(C59,Paramètres!$C$30:$F$37,2,1)</f>
        <v>0.5</v>
      </c>
      <c r="AP59" s="85" t="n">
        <f aca="false">VLOOKUP(C59,Paramètres!$C$30:$F$37,4,1)</f>
        <v>0.65</v>
      </c>
      <c r="AQ59" s="11" t="b">
        <f aca="false">AND(I59&gt;=AO59,I59&lt;=AP59)</f>
        <v>1</v>
      </c>
      <c r="AR59" s="12" t="n">
        <f aca="false">HLOOKUP(H59,'Charge de rupture par diamètre'!$D$16:$AC$17,2,0)</f>
        <v>3</v>
      </c>
      <c r="AS59" s="12" t="n">
        <f aca="false">VLOOKUP(E59,'Charge de rupture par diamètre'!$C$16:$AC$53,AR59,1)</f>
        <v>1513</v>
      </c>
      <c r="AT59" s="12" t="n">
        <f aca="false">AS59*Paramètres!$B$9</f>
        <v>1134.75</v>
      </c>
      <c r="AU59" s="79" t="n">
        <f aca="false">PI()*A59^2*D59^2*(Paramètres!$B$7*E59^2+Paramètres!$B$8*PI()/4*(F59^2-E59^2))/10^12</f>
        <v>66.0827682250884</v>
      </c>
      <c r="AV59" s="13" t="n">
        <f aca="false">0.183*(-E59+(E59^2+4*Paramètres!$B$7/PI()/Paramètres!$B$8*(AW59^2-E59^2))^0.5)</f>
        <v>0.00602865286570565</v>
      </c>
      <c r="AW59" s="85" t="n">
        <f aca="false">(R59/PI()/Paramètres!$B$7)^0.5/A59/D59*10^6</f>
        <v>0.929586496712101</v>
      </c>
      <c r="AX59" s="12" t="e">
        <f aca="false">Q59*VLOOKUP(H59,Paramètres!$B$15:$C$18,2,0)*Paramètres!$B$9</f>
        <v>#N/A</v>
      </c>
      <c r="AY59" s="13" t="e">
        <f aca="false">(AX59/PI()/Paramètres!$B$7)^0.5/A59/D59*10^6</f>
        <v>#N/A</v>
      </c>
      <c r="AZ59" s="12" t="n">
        <f aca="false">(IF(F59&gt;0,(F59*F59 -E59*E59)/Paramètres!$B$7*Paramètres!$B$8,0)+E59*E59)*D59*G59</f>
        <v>1108.08</v>
      </c>
      <c r="BA59" s="80" t="n">
        <f aca="false">-1+AZ59/AZ58</f>
        <v>-0.114563106796117</v>
      </c>
      <c r="BB59" s="80" t="n">
        <f aca="false">IF(F59&gt;0,"",0.234*Paramètres!$B$12*10^9*IF(F59&gt;0,E59,E59)^2/Paramètres!$B$7/A59^2/D59^4*10^6)</f>
        <v>0.000734176711391641</v>
      </c>
      <c r="BC59" s="11" t="n">
        <v>2</v>
      </c>
      <c r="BD59" s="80" t="n">
        <f aca="false">BC59*SQRT(1+L59*BC59^2)-BC59</f>
        <v>0.00193443673807314</v>
      </c>
      <c r="BE59" s="11" t="str">
        <f aca="false">IF(F59&gt;0,PI()^2*Paramètres!$B$12*10^9/8/O59*(E59^4+E59^2*F59^2)*10^-12/D59^2/10^-6,"-")</f>
        <v>-</v>
      </c>
      <c r="BF59" s="11" t="n">
        <f aca="false">IF(ISBLANK(D59),"-",PI()^3*E59^4*Paramètres!$B$12*10^9/64/O59/(D59/1000)^2*10^-12)</f>
        <v>0.000483843062361662</v>
      </c>
      <c r="BG59" s="90" t="n">
        <f aca="false">(Paramètres!$B$12*10^9)^0.5/Paramètres!$B$7/2/D59*1000</f>
        <v>62.7785368595492</v>
      </c>
    </row>
    <row r="60" customFormat="false" ht="12.8" hidden="false" customHeight="false" outlineLevel="0" collapsed="false">
      <c r="A60" s="79" t="n">
        <f aca="false">IF(ISBLANK(D60),"-",IF(AND($A$6,$A$4/2&lt;AD60),AG60,AD60))</f>
        <v>415.295276708504</v>
      </c>
      <c r="B60" s="79" t="str">
        <f aca="false">IF(ISBLANK(D60),"",VLOOKUP(MOD(C60-Paramètres!$B$54,12)+1,Paramètres!$B$40:$C$52,2)&amp;" "&amp;(TRUNC((C60-Paramètres!$B$54+120)/12)-10+1))</f>
        <v>Sol# 3</v>
      </c>
      <c r="C60" s="11" t="n">
        <f aca="false">IF(ISBLANK(D60),"",C59+1)</f>
        <v>48</v>
      </c>
      <c r="D60" s="25" t="n">
        <v>435</v>
      </c>
      <c r="E60" s="6" t="n">
        <v>0.9</v>
      </c>
      <c r="F60" s="6"/>
      <c r="G60" s="25" t="n">
        <v>3</v>
      </c>
      <c r="H60" s="25" t="s">
        <v>73</v>
      </c>
      <c r="I60" s="80" t="n">
        <f aca="false">IF(ISBLANK(D60),"",IF(F60&gt;0,AU60/AT60,AM60))</f>
        <v>0.574509023542691</v>
      </c>
      <c r="J60" s="81" t="str">
        <f aca="false">IF(ISBLANK(D60),"",IF(AQ60,"","]"&amp;AO60&amp;" -- "&amp;AP60&amp;"["))</f>
        <v/>
      </c>
      <c r="K60" s="80" t="n">
        <f aca="false">IF(ISBLANK(D60),"",BA60)</f>
        <v>-0.0460526315789471</v>
      </c>
      <c r="L60" s="82" t="n">
        <f aca="false">IF(ISBLANK(D60),"",IF(F60&gt;0,BF60,BF60))</f>
        <v>0.000520493717278522</v>
      </c>
      <c r="M60" s="80" t="n">
        <f aca="false">IF(ISBLANK(D60),"",IF(F60&gt;0,"-",N60/(2^(1/12)-1)))</f>
        <v>0.0131298343002518</v>
      </c>
      <c r="N60" s="83" t="n">
        <f aca="false">IF(ISBLANK(D60),"",IF(F60&gt;0,"-",1.5*L60))</f>
        <v>0.000780740575917783</v>
      </c>
      <c r="O60" s="12" t="n">
        <f aca="false">IF(ISBLANK(D60),"",IF(F60&gt;0,AU60,AK60))</f>
        <v>651.924114465068</v>
      </c>
      <c r="P60" s="12" t="n">
        <f aca="false">IF(ISBLANK(D60),"",IF(F60&gt;0,AU60*G60,AL60))</f>
        <v>1955.77234339521</v>
      </c>
      <c r="Q60" s="84" t="n">
        <v>0.6</v>
      </c>
      <c r="R60" s="12" t="n">
        <f aca="false">IF(ISBLANK(D60),"",AT60*Q60)</f>
        <v>680.85</v>
      </c>
      <c r="S60" s="13" t="n">
        <f aca="false">IF(ISBLANK(D60),"",AJ60)</f>
        <v>0.922003771709284</v>
      </c>
      <c r="T60" s="85" t="str">
        <f aca="false">IF(ISBLANK(F60),"",ROUND(S60*10*G60,0)/10/G60)</f>
        <v/>
      </c>
      <c r="U60" s="86" t="str">
        <f aca="false">IF(F60&gt;0,(AJ60-E60)/2,"")</f>
        <v/>
      </c>
      <c r="V60" s="86" t="str">
        <f aca="false">IF(F60&gt;0,AN60,"")</f>
        <v/>
      </c>
      <c r="W60" s="87" t="str">
        <f aca="false">IF(F60&gt;0,IF(U60&lt;Paramètres!$B$5,"!!!",""),"")</f>
        <v/>
      </c>
      <c r="X60" s="88" t="str">
        <f aca="false">IF(U60&lt;&gt;"",IF(U60/3&gt;=Paramètres!$B$5,(S60-E60)/2/3,""),"")</f>
        <v/>
      </c>
      <c r="Y60" s="88" t="str">
        <f aca="false">IF(U60&lt;&gt;"",IF(U60/3&gt;=Paramètres!$B$5,AV60,""),"")</f>
        <v/>
      </c>
      <c r="Z60" s="88" t="str">
        <f aca="false">IF(X60&lt;&gt;"",Y60*2,"")</f>
        <v/>
      </c>
      <c r="AB60" s="1"/>
      <c r="AC60" s="79" t="str">
        <f aca="false">INDEX('Charge de rupture par diamètre'!$C$1:$AC$1,AR60)</f>
        <v>Stephen Paulello France</v>
      </c>
      <c r="AD60" s="13" t="n">
        <f aca="false">IF(ISBLANK(D60),"-",$A$4/16 * 2^((C60-1)/12))</f>
        <v>415.304697579945</v>
      </c>
      <c r="AE60" s="13" t="n">
        <f aca="false">AG60/(AG$9*SQRT(1+$L60*AG$9^2))</f>
        <v>415.187239589985</v>
      </c>
      <c r="AF60" s="13" t="n">
        <f aca="false">$AE60*AF$9*SQRT(1+$L60*AF$9^2)</f>
        <v>831.238439126864</v>
      </c>
      <c r="AG60" s="13" t="n">
        <f aca="false">$AE$7*AG59</f>
        <v>415.295276708504</v>
      </c>
      <c r="AH60" s="19" t="n">
        <f aca="false">IF(AND(C60&gt;12,F48="",AD60&gt;$A$4),AH48*2*(1+N48),IF(AD60&gt;=$A$4/2,AD60,AD60))</f>
        <v>415.304697579945</v>
      </c>
      <c r="AI60" s="19" t="n">
        <f aca="false">IF(AND(C60&gt;12,F48="",AD60&gt;$A$4),AH48*2*(1+N48),IF(AD60&gt;=$A$4/2,AD60,AH72/2/(1+N60)))</f>
        <v>415.304697579945</v>
      </c>
      <c r="AJ60" s="85" t="n">
        <f aca="false">IF(Q60&gt;0,((R60*10^12/PI()/A60^2/D60^2-Paramètres!$B$7*E60^2)*4/PI()/Paramètres!$B$8+E60^2)^0.5,"")</f>
        <v>0.922003771709284</v>
      </c>
      <c r="AK60" s="12" t="n">
        <f aca="false">PI()*Paramètres!$B$7*(E60*A60*D60)^2/10^12</f>
        <v>651.924114465068</v>
      </c>
      <c r="AL60" s="12" t="n">
        <f aca="false">AK60*G60</f>
        <v>1955.77234339521</v>
      </c>
      <c r="AM60" s="80" t="n">
        <f aca="false">AK60/AT60</f>
        <v>0.574509023542691</v>
      </c>
      <c r="AN60" s="85" t="n">
        <f aca="false">(-E60+0.1*Paramètres!$B$7/E60/Paramètres!$B$8/PI()*(AW60^2-E60^2)+(E60^2+3.8*Paramètres!$B$7/Paramètres!$B$8/PI()*(AW60^2-E60^2))^0.5)/2</f>
        <v>0.0110148536326614</v>
      </c>
      <c r="AO60" s="85" t="n">
        <f aca="false">VLOOKUP(C60,Paramètres!$C$30:$F$37,2,1)</f>
        <v>0.5</v>
      </c>
      <c r="AP60" s="85" t="n">
        <f aca="false">VLOOKUP(C60,Paramètres!$C$30:$F$37,4,1)</f>
        <v>0.65</v>
      </c>
      <c r="AQ60" s="11" t="b">
        <f aca="false">AND(I60&gt;=AO60,I60&lt;=AP60)</f>
        <v>1</v>
      </c>
      <c r="AR60" s="12" t="n">
        <f aca="false">HLOOKUP(H60,'Charge de rupture par diamètre'!$D$16:$AC$17,2,0)</f>
        <v>3</v>
      </c>
      <c r="AS60" s="12" t="n">
        <f aca="false">VLOOKUP(E60,'Charge de rupture par diamètre'!$C$16:$AC$53,AR60,1)</f>
        <v>1513</v>
      </c>
      <c r="AT60" s="12" t="n">
        <f aca="false">AS60*Paramètres!$B$9</f>
        <v>1134.75</v>
      </c>
      <c r="AU60" s="79" t="n">
        <f aca="false">PI()*A60^2*D60^2*(Paramètres!$B$7*E60^2+Paramètres!$B$8*PI()/4*(F60^2-E60^2))/10^12</f>
        <v>67.5038317273183</v>
      </c>
      <c r="AV60" s="13" t="n">
        <f aca="false">0.183*(-E60+(E60^2+4*Paramètres!$B$7/PI()/Paramètres!$B$8*(AW60^2-E60^2))^0.5)</f>
        <v>0.00402669022279894</v>
      </c>
      <c r="AW60" s="85" t="n">
        <f aca="false">(R60/PI()/Paramètres!$B$7)^0.5/A60/D60*10^6</f>
        <v>0.919749811430001</v>
      </c>
      <c r="AX60" s="12" t="e">
        <f aca="false">Q60*VLOOKUP(H60,Paramètres!$B$15:$C$18,2,0)*Paramètres!$B$9</f>
        <v>#N/A</v>
      </c>
      <c r="AY60" s="13" t="e">
        <f aca="false">(AX60/PI()/Paramètres!$B$7)^0.5/A60/D60*10^6</f>
        <v>#N/A</v>
      </c>
      <c r="AZ60" s="12" t="n">
        <f aca="false">(IF(F60&gt;0,(F60*F60 -E60*E60)/Paramètres!$B$7*Paramètres!$B$8,0)+E60*E60)*D60*G60</f>
        <v>1057.05</v>
      </c>
      <c r="BA60" s="80" t="n">
        <f aca="false">-1+AZ60/AZ59</f>
        <v>-0.0460526315789471</v>
      </c>
      <c r="BB60" s="80" t="n">
        <f aca="false">IF(F60&gt;0,"",0.234*Paramètres!$B$12*10^9*IF(F60&gt;0,E60,E60)^2/Paramètres!$B$7/A60^2/D60^4*10^6)</f>
        <v>0.000789789903747589</v>
      </c>
      <c r="BC60" s="11" t="n">
        <v>2</v>
      </c>
      <c r="BD60" s="80" t="n">
        <f aca="false">BC60*SQRT(1+L60*BC60^2)-BC60</f>
        <v>0.0020808923408806</v>
      </c>
      <c r="BE60" s="11" t="str">
        <f aca="false">IF(F60&gt;0,PI()^2*Paramètres!$B$12*10^9/8/O60*(E60^4+E60^2*F60^2)*10^-12/D60^2/10^-6,"-")</f>
        <v>-</v>
      </c>
      <c r="BF60" s="11" t="n">
        <f aca="false">IF(ISBLANK(D60),"-",PI()^3*E60^4*Paramètres!$B$12*10^9/64/O60/(D60/1000)^2*10^-12)</f>
        <v>0.000520493717278522</v>
      </c>
      <c r="BG60" s="90" t="n">
        <f aca="false">(Paramètres!$B$12*10^9)^0.5/Paramètres!$B$7/2/D60*1000</f>
        <v>65.8092248458723</v>
      </c>
    </row>
    <row r="61" customFormat="false" ht="12.8" hidden="false" customHeight="false" outlineLevel="0" collapsed="false">
      <c r="A61" s="79" t="n">
        <f aca="false">IF(ISBLANK(D61),"-",IF(AND($A$6,$A$4/2&lt;AD61),AG61,AD61))</f>
        <v>440</v>
      </c>
      <c r="B61" s="79" t="str">
        <f aca="false">IF(ISBLANK(D61),"",VLOOKUP(MOD(C61-Paramètres!$B$54,12)+1,Paramètres!$B$40:$C$52,2)&amp;" "&amp;(TRUNC((C61-Paramètres!$B$54+120)/12)-10+1))</f>
        <v>La 3</v>
      </c>
      <c r="C61" s="11" t="n">
        <f aca="false">IF(ISBLANK(D61),"",C60+1)</f>
        <v>49</v>
      </c>
      <c r="D61" s="25" t="n">
        <v>413</v>
      </c>
      <c r="E61" s="6" t="n">
        <v>0.9</v>
      </c>
      <c r="F61" s="6"/>
      <c r="G61" s="25" t="n">
        <v>3</v>
      </c>
      <c r="H61" s="25" t="s">
        <v>73</v>
      </c>
      <c r="I61" s="80" t="n">
        <f aca="false">IF(ISBLANK(D61),"",IF(F61&gt;0,AU61/AT61,AM61))</f>
        <v>0.581312702745099</v>
      </c>
      <c r="J61" s="81" t="str">
        <f aca="false">IF(ISBLANK(D61),"",IF(AQ61,"","]"&amp;AO61&amp;" -- "&amp;AP61&amp;"["))</f>
        <v/>
      </c>
      <c r="K61" s="80" t="n">
        <f aca="false">IF(ISBLANK(D61),"",BA61)</f>
        <v>-0.0505747126436782</v>
      </c>
      <c r="L61" s="82" t="n">
        <f aca="false">IF(ISBLANK(D61),"",IF(F61&gt;0,BF61,BF61))</f>
        <v>0.000570664613880131</v>
      </c>
      <c r="M61" s="80" t="n">
        <f aca="false">IF(ISBLANK(D61),"",IF(F61&gt;0,"-",N61/(2^(1/12)-1)))</f>
        <v>0.0143954318227704</v>
      </c>
      <c r="N61" s="83" t="n">
        <f aca="false">IF(ISBLANK(D61),"",IF(F61&gt;0,"-",1.5*L61))</f>
        <v>0.000855996920820197</v>
      </c>
      <c r="O61" s="12" t="n">
        <f aca="false">IF(ISBLANK(D61),"",IF(F61&gt;0,AU61,AK61))</f>
        <v>659.644589440001</v>
      </c>
      <c r="P61" s="12" t="n">
        <f aca="false">IF(ISBLANK(D61),"",IF(F61&gt;0,AU61*G61,AL61))</f>
        <v>1978.93376832</v>
      </c>
      <c r="Q61" s="84" t="n">
        <v>0.6</v>
      </c>
      <c r="R61" s="12" t="n">
        <f aca="false">IF(ISBLANK(D61),"",AT61*Q61)</f>
        <v>680.85</v>
      </c>
      <c r="S61" s="13" t="n">
        <f aca="false">IF(ISBLANK(D61),"",AJ61)</f>
        <v>0.91599480184985</v>
      </c>
      <c r="T61" s="85" t="str">
        <f aca="false">IF(ISBLANK(F61),"",ROUND(S61*10*G61,0)/10/G61)</f>
        <v/>
      </c>
      <c r="U61" s="86" t="str">
        <f aca="false">IF(F61&gt;0,(AJ61-E61)/2,"")</f>
        <v/>
      </c>
      <c r="V61" s="86" t="str">
        <f aca="false">IF(F61&gt;0,AN61,"")</f>
        <v/>
      </c>
      <c r="W61" s="87" t="str">
        <f aca="false">IF(F61&gt;0,IF(U61&lt;Paramètres!$B$5,"!!!",""),"")</f>
        <v/>
      </c>
      <c r="X61" s="88" t="str">
        <f aca="false">IF(U61&lt;&gt;"",IF(U61/3&gt;=Paramètres!$B$5,(S61-E61)/2/3,""),"")</f>
        <v/>
      </c>
      <c r="Y61" s="88" t="str">
        <f aca="false">IF(U61&lt;&gt;"",IF(U61/3&gt;=Paramètres!$B$5,AV61,""),"")</f>
        <v/>
      </c>
      <c r="Z61" s="88" t="str">
        <f aca="false">IF(X61&lt;&gt;"",Y61*2,"")</f>
        <v/>
      </c>
      <c r="AB61" s="1"/>
      <c r="AC61" s="79" t="str">
        <f aca="false">INDEX('Charge de rupture par diamètre'!$C$1:$AC$1,AR61)</f>
        <v>Stephen Paulello France</v>
      </c>
      <c r="AD61" s="13" t="n">
        <f aca="false">IF(ISBLANK(D61),"-",$A$4/16 * 2^((C61-1)/12))</f>
        <v>440</v>
      </c>
      <c r="AE61" s="13" t="n">
        <f aca="false">AG61/(AG$9*SQRT(1+$L61*AG$9^2))</f>
        <v>439.874507492993</v>
      </c>
      <c r="AF61" s="13" t="n">
        <f aca="false">$AE61*AF$9*SQRT(1+$L61*AF$9^2)</f>
        <v>880.752525908138</v>
      </c>
      <c r="AG61" s="13" t="n">
        <f aca="false">$A$4</f>
        <v>440</v>
      </c>
      <c r="AH61" s="19" t="n">
        <f aca="false">IF(AND(C61&gt;12,F49="",AD61&gt;$A$4),AH49*2*(1+N49),IF(AD61&gt;=$A$4/2,AD61,AD61))</f>
        <v>440</v>
      </c>
      <c r="AI61" s="19" t="n">
        <f aca="false">IF(AND(C61&gt;12,F49="",AD61&gt;$A$4),AH49*2*(1+N49),IF(AD61&gt;=$A$4/2,AD61,AH73/2/(1+N61)))</f>
        <v>440</v>
      </c>
      <c r="AJ61" s="85" t="n">
        <f aca="false">IF(Q61&gt;0,((R61*10^12/PI()/A61^2/D61^2-Paramètres!$B$7*E61^2)*4/PI()/Paramètres!$B$8+E61^2)^0.5,"")</f>
        <v>0.91599480184985</v>
      </c>
      <c r="AK61" s="12" t="n">
        <f aca="false">PI()*Paramètres!$B$7*(E61*A61*D61)^2/10^12</f>
        <v>659.644589440001</v>
      </c>
      <c r="AL61" s="12" t="n">
        <f aca="false">AK61*G61</f>
        <v>1978.93376832</v>
      </c>
      <c r="AM61" s="80" t="n">
        <f aca="false">AK61/AT61</f>
        <v>0.581312702745099</v>
      </c>
      <c r="AN61" s="85" t="n">
        <f aca="false">(-E61+0.1*Paramètres!$B$7/E61/Paramètres!$B$8/PI()*(AW61^2-E61^2)+(E61^2+3.8*Paramètres!$B$7/Paramètres!$B$8/PI()*(AW61^2-E61^2))^0.5)/2</f>
        <v>0.00800427369678752</v>
      </c>
      <c r="AO61" s="85" t="n">
        <f aca="false">VLOOKUP(C61,Paramètres!$C$30:$F$37,2,1)</f>
        <v>0.5</v>
      </c>
      <c r="AP61" s="85" t="n">
        <f aca="false">VLOOKUP(C61,Paramètres!$C$30:$F$37,4,1)</f>
        <v>0.65</v>
      </c>
      <c r="AQ61" s="11" t="b">
        <f aca="false">AND(I61&gt;=AO61,I61&lt;=AP61)</f>
        <v>1</v>
      </c>
      <c r="AR61" s="12" t="n">
        <f aca="false">HLOOKUP(H61,'Charge de rupture par diamètre'!$D$16:$AC$17,2,0)</f>
        <v>3</v>
      </c>
      <c r="AS61" s="12" t="n">
        <f aca="false">VLOOKUP(E61,'Charge de rupture par diamètre'!$C$16:$AC$53,AR61,1)</f>
        <v>1513</v>
      </c>
      <c r="AT61" s="12" t="n">
        <f aca="false">AS61*Paramètres!$B$9</f>
        <v>1134.75</v>
      </c>
      <c r="AU61" s="79" t="n">
        <f aca="false">PI()*A61^2*D61^2*(Paramètres!$B$7*E61^2+Paramètres!$B$8*PI()/4*(F61^2-E61^2))/10^12</f>
        <v>68.3032524451582</v>
      </c>
      <c r="AV61" s="13" t="n">
        <f aca="false">0.183*(-E61+(E61^2+4*Paramètres!$B$7/PI()/Paramètres!$B$8*(AW61^2-E61^2))^0.5)</f>
        <v>0.00292704873852251</v>
      </c>
      <c r="AW61" s="85" t="n">
        <f aca="false">(R61/PI()/Paramètres!$B$7)^0.5/A61/D61*10^6</f>
        <v>0.914351597576387</v>
      </c>
      <c r="AX61" s="12" t="e">
        <f aca="false">Q61*VLOOKUP(H61,Paramètres!$B$15:$C$18,2,0)*Paramètres!$B$9</f>
        <v>#N/A</v>
      </c>
      <c r="AY61" s="13" t="e">
        <f aca="false">(AX61/PI()/Paramètres!$B$7)^0.5/A61/D61*10^6</f>
        <v>#N/A</v>
      </c>
      <c r="AZ61" s="12" t="n">
        <f aca="false">(IF(F61&gt;0,(F61*F61 -E61*E61)/Paramètres!$B$7*Paramètres!$B$8,0)+E61*E61)*D61*G61</f>
        <v>1003.59</v>
      </c>
      <c r="BA61" s="80" t="n">
        <f aca="false">-1+AZ61/AZ60</f>
        <v>-0.0505747126436782</v>
      </c>
      <c r="BB61" s="80" t="n">
        <f aca="false">IF(F61&gt;0,"",0.234*Paramètres!$B$12*10^9*IF(F61&gt;0,E61,E61)^2/Paramètres!$B$7/A61^2/D61^4*10^6)</f>
        <v>0.000865918522177602</v>
      </c>
      <c r="BC61" s="11" t="n">
        <v>2</v>
      </c>
      <c r="BD61" s="80" t="n">
        <f aca="false">BC61*SQRT(1+L61*BC61^2)-BC61</f>
        <v>0.00228135730772916</v>
      </c>
      <c r="BE61" s="11" t="str">
        <f aca="false">IF(F61&gt;0,PI()^2*Paramètres!$B$12*10^9/8/O61*(E61^4+E61^2*F61^2)*10^-12/D61^2/10^-6,"-")</f>
        <v>-</v>
      </c>
      <c r="BF61" s="11" t="n">
        <f aca="false">IF(ISBLANK(D61),"-",PI()^3*E61^4*Paramètres!$B$12*10^9/64/O61/(D61/1000)^2*10^-12)</f>
        <v>0.000570664613880131</v>
      </c>
      <c r="BG61" s="90" t="n">
        <f aca="false">(Paramètres!$B$12*10^9)^0.5/Paramètres!$B$7/2/D61*1000</f>
        <v>69.3148009877831</v>
      </c>
    </row>
    <row r="62" customFormat="false" ht="12.8" hidden="false" customHeight="false" outlineLevel="0" collapsed="false">
      <c r="A62" s="79" t="n">
        <f aca="false">IF(ISBLANK(D62),"-",IF(AND($A$6,$A$4/2&lt;AD62),AG62,AD62))</f>
        <v>466.182739317902</v>
      </c>
      <c r="B62" s="79" t="str">
        <f aca="false">IF(ISBLANK(D62),"",VLOOKUP(MOD(C62-Paramètres!$B$54,12)+1,Paramètres!$B$40:$C$52,2)&amp;" "&amp;(TRUNC((C62-Paramètres!$B$54+120)/12)-10+1))</f>
        <v>La# 3</v>
      </c>
      <c r="C62" s="11" t="n">
        <f aca="false">IF(ISBLANK(D62),"",C61+1)</f>
        <v>50</v>
      </c>
      <c r="D62" s="25" t="n">
        <v>392</v>
      </c>
      <c r="E62" s="6" t="n">
        <v>0.9</v>
      </c>
      <c r="F62" s="6"/>
      <c r="G62" s="25" t="n">
        <v>3</v>
      </c>
      <c r="H62" s="25" t="s">
        <v>73</v>
      </c>
      <c r="I62" s="80" t="n">
        <f aca="false">IF(ISBLANK(D62),"",IF(F62&gt;0,AU62/AT62,AM62))</f>
        <v>0.587880249615016</v>
      </c>
      <c r="J62" s="81" t="str">
        <f aca="false">IF(ISBLANK(D62),"",IF(AQ62,"","]"&amp;AO62&amp;" -- "&amp;AP62&amp;"["))</f>
        <v/>
      </c>
      <c r="K62" s="80" t="n">
        <f aca="false">IF(ISBLANK(D62),"",BA62)</f>
        <v>-0.0508474576271186</v>
      </c>
      <c r="L62" s="82" t="n">
        <f aca="false">IF(ISBLANK(D62),"",IF(F62&gt;0,BF62,BF62))</f>
        <v>0.000626368423503672</v>
      </c>
      <c r="M62" s="80" t="n">
        <f aca="false">IF(ISBLANK(D62),"",IF(F62&gt;0,"-",N62/(2^(1/12)-1)))</f>
        <v>0.0158006011187111</v>
      </c>
      <c r="N62" s="83" t="n">
        <f aca="false">IF(ISBLANK(D62),"",IF(F62&gt;0,"-",1.5*L62))</f>
        <v>0.000939552635255508</v>
      </c>
      <c r="O62" s="12" t="n">
        <f aca="false">IF(ISBLANK(D62),"",IF(F62&gt;0,AU62,AK62))</f>
        <v>667.097113250639</v>
      </c>
      <c r="P62" s="12" t="n">
        <f aca="false">IF(ISBLANK(D62),"",IF(F62&gt;0,AU62*G62,AL62))</f>
        <v>2001.29133975192</v>
      </c>
      <c r="Q62" s="84" t="n">
        <v>0.65</v>
      </c>
      <c r="R62" s="12" t="n">
        <f aca="false">IF(ISBLANK(D62),"",AT62*Q62)</f>
        <v>737.5875</v>
      </c>
      <c r="S62" s="13" t="n">
        <f aca="false">IF(ISBLANK(D62),"",AJ62)</f>
        <v>0.951565419530925</v>
      </c>
      <c r="T62" s="85" t="str">
        <f aca="false">IF(ISBLANK(F62),"",ROUND(S62*10*G62,0)/10/G62)</f>
        <v/>
      </c>
      <c r="U62" s="86" t="str">
        <f aca="false">IF(F62&gt;0,(AJ62-E62)/2,"")</f>
        <v/>
      </c>
      <c r="V62" s="86" t="str">
        <f aca="false">IF(F62&gt;0,AN62,"")</f>
        <v/>
      </c>
      <c r="W62" s="87" t="str">
        <f aca="false">IF(F62&gt;0,IF(U62&lt;Paramètres!$B$5,"!!!",""),"")</f>
        <v/>
      </c>
      <c r="X62" s="88" t="str">
        <f aca="false">IF(U62&lt;&gt;"",IF(U62/3&gt;=Paramètres!$B$5,(S62-E62)/2/3,""),"")</f>
        <v/>
      </c>
      <c r="Y62" s="88" t="str">
        <f aca="false">IF(U62&lt;&gt;"",IF(U62/3&gt;=Paramètres!$B$5,AV62,""),"")</f>
        <v/>
      </c>
      <c r="Z62" s="88" t="str">
        <f aca="false">IF(X62&lt;&gt;"",Y62*2,"")</f>
        <v/>
      </c>
      <c r="AB62" s="1"/>
      <c r="AC62" s="79" t="str">
        <f aca="false">INDEX('Charge de rupture par diamètre'!$C$1:$AC$1,AR62)</f>
        <v>Stephen Paulello France</v>
      </c>
      <c r="AD62" s="13" t="n">
        <f aca="false">IF(ISBLANK(D62),"-",$A$4/16 * 2^((C62-1)/12))</f>
        <v>466.16376151809</v>
      </c>
      <c r="AE62" s="13" t="n">
        <f aca="false">AG62/(AG$9*SQRT(1+$L62*AG$9^2))</f>
        <v>466.036806796222</v>
      </c>
      <c r="AF62" s="13" t="n">
        <f aca="false">$AE62*AF$9*SQRT(1+$L62*AF$9^2)</f>
        <v>933.240526092422</v>
      </c>
      <c r="AG62" s="13" t="n">
        <f aca="false">AF50</f>
        <v>466.182739317902</v>
      </c>
      <c r="AH62" s="19" t="n">
        <f aca="false">IF(AND(C62&gt;12,F50="",AD62&gt;$A$4),AH50*2*(1+N50),IF(AD62&gt;=$A$4/2,AD62,AD62))</f>
        <v>466.299126004505</v>
      </c>
      <c r="AI62" s="19" t="n">
        <f aca="false">IF(AND(C62&gt;12,F50="",AD62&gt;$A$4),AH50*2*(1+N50),IF(AD62&gt;=$A$4/2,AD62,AH74/2/(1+N62)))</f>
        <v>466.299126004505</v>
      </c>
      <c r="AJ62" s="85" t="n">
        <f aca="false">IF(Q62&gt;0,((R62*10^12/PI()/A62^2/D62^2-Paramètres!$B$7*E62^2)*4/PI()/Paramètres!$B$8+E62^2)^0.5,"")</f>
        <v>0.951565419530925</v>
      </c>
      <c r="AK62" s="12" t="n">
        <f aca="false">PI()*Paramètres!$B$7*(E62*A62*D62)^2/10^12</f>
        <v>667.097113250639</v>
      </c>
      <c r="AL62" s="12" t="n">
        <f aca="false">AK62*G62</f>
        <v>2001.29133975192</v>
      </c>
      <c r="AM62" s="80" t="n">
        <f aca="false">AK62/AT62</f>
        <v>0.587880249615016</v>
      </c>
      <c r="AN62" s="85" t="n">
        <f aca="false">(-E62+0.1*Paramètres!$B$7/E62/Paramètres!$B$8/PI()*(AW62^2-E62^2)+(E62^2+3.8*Paramètres!$B$7/Paramètres!$B$8/PI()*(AW62^2-E62^2))^0.5)/2</f>
        <v>0.0258529119305551</v>
      </c>
      <c r="AO62" s="85" t="n">
        <f aca="false">VLOOKUP(C62,Paramètres!$C$30:$F$37,2,1)</f>
        <v>0.5</v>
      </c>
      <c r="AP62" s="85" t="n">
        <f aca="false">VLOOKUP(C62,Paramètres!$C$30:$F$37,4,1)</f>
        <v>0.75</v>
      </c>
      <c r="AQ62" s="11" t="b">
        <f aca="false">AND(I62&gt;=AO62,I62&lt;=AP62)</f>
        <v>1</v>
      </c>
      <c r="AR62" s="12" t="n">
        <f aca="false">HLOOKUP(H62,'Charge de rupture par diamètre'!$D$16:$AC$17,2,0)</f>
        <v>3</v>
      </c>
      <c r="AS62" s="12" t="n">
        <f aca="false">VLOOKUP(E62,'Charge de rupture par diamètre'!$C$16:$AC$53,AR62,1)</f>
        <v>1513</v>
      </c>
      <c r="AT62" s="12" t="n">
        <f aca="false">AS62*Paramètres!$B$9</f>
        <v>1134.75</v>
      </c>
      <c r="AU62" s="79" t="n">
        <f aca="false">PI()*A62^2*D62^2*(Paramètres!$B$7*E62^2+Paramètres!$B$8*PI()/4*(F62^2-E62^2))/10^12</f>
        <v>69.0749280161255</v>
      </c>
      <c r="AV62" s="13" t="n">
        <f aca="false">0.183*(-E62+(E62^2+4*Paramètres!$B$7/PI()/Paramètres!$B$8*(AW62^2-E62^2))^0.5)</f>
        <v>0.00943647177415931</v>
      </c>
      <c r="AW62" s="85" t="n">
        <f aca="false">(R62/PI()/Paramètres!$B$7)^0.5/A62/D62*10^6</f>
        <v>0.946356463842444</v>
      </c>
      <c r="AX62" s="12" t="e">
        <f aca="false">Q62*VLOOKUP(H62,Paramètres!$B$15:$C$18,2,0)*Paramètres!$B$9</f>
        <v>#N/A</v>
      </c>
      <c r="AY62" s="13" t="e">
        <f aca="false">(AX62/PI()/Paramètres!$B$7)^0.5/A62/D62*10^6</f>
        <v>#N/A</v>
      </c>
      <c r="AZ62" s="12" t="n">
        <f aca="false">(IF(F62&gt;0,(F62*F62 -E62*E62)/Paramètres!$B$7*Paramètres!$B$8,0)+E62*E62)*D62*G62</f>
        <v>952.56</v>
      </c>
      <c r="BA62" s="80" t="n">
        <f aca="false">-1+AZ62/AZ61</f>
        <v>-0.0508474576271186</v>
      </c>
      <c r="BB62" s="80" t="n">
        <f aca="false">IF(F62&gt;0,"",0.234*Paramètres!$B$12*10^9*IF(F62&gt;0,E62,E62)^2/Paramètres!$B$7/A62^2/D62^4*10^6)</f>
        <v>0.000950442705622083</v>
      </c>
      <c r="BC62" s="11" t="n">
        <v>2</v>
      </c>
      <c r="BD62" s="80" t="n">
        <f aca="false">BC62*SQRT(1+L62*BC62^2)-BC62</f>
        <v>0.00250390630731578</v>
      </c>
      <c r="BE62" s="11" t="str">
        <f aca="false">IF(F62&gt;0,PI()^2*Paramètres!$B$12*10^9/8/O62*(E62^4+E62^2*F62^2)*10^-12/D62^2/10^-6,"-")</f>
        <v>-</v>
      </c>
      <c r="BF62" s="11" t="n">
        <f aca="false">IF(ISBLANK(D62),"-",PI()^3*E62^4*Paramètres!$B$12*10^9/64/O62/(D62/1000)^2*10^-12)</f>
        <v>0.000626368423503672</v>
      </c>
      <c r="BG62" s="90" t="n">
        <f aca="false">(Paramètres!$B$12*10^9)^0.5/Paramètres!$B$7/2/D62*1000</f>
        <v>73.028093897843</v>
      </c>
    </row>
    <row r="63" customFormat="false" ht="12.8" hidden="false" customHeight="false" outlineLevel="0" collapsed="false">
      <c r="A63" s="79" t="n">
        <f aca="false">IF(ISBLANK(D63),"-",IF(AND($A$6,$A$4/2&lt;AD63),AG63,AD63))</f>
        <v>493.924467273421</v>
      </c>
      <c r="B63" s="79" t="str">
        <f aca="false">IF(ISBLANK(D63),"",VLOOKUP(MOD(C63-Paramètres!$B$54,12)+1,Paramètres!$B$40:$C$52,2)&amp;" "&amp;(TRUNC((C63-Paramètres!$B$54+120)/12)-10+1))</f>
        <v>Si 3</v>
      </c>
      <c r="C63" s="11" t="n">
        <f aca="false">IF(ISBLANK(D63),"",C62+1)</f>
        <v>51</v>
      </c>
      <c r="D63" s="25" t="n">
        <v>370</v>
      </c>
      <c r="E63" s="6" t="n">
        <v>0.9</v>
      </c>
      <c r="F63" s="6"/>
      <c r="G63" s="25" t="n">
        <v>3</v>
      </c>
      <c r="H63" s="25" t="s">
        <v>73</v>
      </c>
      <c r="I63" s="80" t="n">
        <f aca="false">IF(ISBLANK(D63),"",IF(F63&gt;0,AU63/AT63,AM63))</f>
        <v>0.58793441865944</v>
      </c>
      <c r="J63" s="81" t="str">
        <f aca="false">IF(ISBLANK(D63),"",IF(AQ63,"","]"&amp;AO63&amp;" -- "&amp;AP63&amp;"["))</f>
        <v/>
      </c>
      <c r="K63" s="80" t="n">
        <f aca="false">IF(ISBLANK(D63),"",BA63)</f>
        <v>-0.0561224489795918</v>
      </c>
      <c r="L63" s="82" t="n">
        <f aca="false">IF(ISBLANK(D63),"",IF(F63&gt;0,BF63,BF63))</f>
        <v>0.000703005182307985</v>
      </c>
      <c r="M63" s="80" t="n">
        <f aca="false">IF(ISBLANK(D63),"",IF(F63&gt;0,"-",N63/(2^(1/12)-1)))</f>
        <v>0.0177338193517192</v>
      </c>
      <c r="N63" s="83" t="n">
        <f aca="false">IF(ISBLANK(D63),"",IF(F63&gt;0,"-",1.5*L63))</f>
        <v>0.00105450777346198</v>
      </c>
      <c r="O63" s="12" t="n">
        <f aca="false">IF(ISBLANK(D63),"",IF(F63&gt;0,AU63,AK63))</f>
        <v>667.1585815738</v>
      </c>
      <c r="P63" s="12" t="n">
        <f aca="false">IF(ISBLANK(D63),"",IF(F63&gt;0,AU63*G63,AL63))</f>
        <v>2001.4757447214</v>
      </c>
      <c r="Q63" s="84" t="n">
        <v>0.65</v>
      </c>
      <c r="R63" s="12" t="n">
        <f aca="false">IF(ISBLANK(D63),"",AT63*Q63)</f>
        <v>737.5875</v>
      </c>
      <c r="S63" s="13" t="n">
        <f aca="false">IF(ISBLANK(D63),"",AJ63)</f>
        <v>0.951517052887266</v>
      </c>
      <c r="T63" s="85" t="str">
        <f aca="false">IF(ISBLANK(F63),"",ROUND(S63*10*G63,0)/10/G63)</f>
        <v/>
      </c>
      <c r="U63" s="86" t="str">
        <f aca="false">IF(F63&gt;0,(AJ63-E63)/2,"")</f>
        <v/>
      </c>
      <c r="V63" s="86" t="str">
        <f aca="false">IF(F63&gt;0,AN63,"")</f>
        <v/>
      </c>
      <c r="W63" s="87" t="str">
        <f aca="false">IF(F63&gt;0,IF(U63&lt;Paramètres!$B$5,"!!!",""),"")</f>
        <v/>
      </c>
      <c r="X63" s="88" t="str">
        <f aca="false">IF(U63&lt;&gt;"",IF(U63/3&gt;=Paramètres!$B$5,(S63-E63)/2/3,""),"")</f>
        <v/>
      </c>
      <c r="Y63" s="88" t="str">
        <f aca="false">IF(U63&lt;&gt;"",IF(U63/3&gt;=Paramètres!$B$5,AV63,""),"")</f>
        <v/>
      </c>
      <c r="Z63" s="88" t="str">
        <f aca="false">IF(X63&lt;&gt;"",Y63*2,"")</f>
        <v/>
      </c>
      <c r="AB63" s="1"/>
      <c r="AC63" s="79" t="str">
        <f aca="false">INDEX('Charge de rupture par diamètre'!$C$1:$AC$1,AR63)</f>
        <v>Stephen Paulello France</v>
      </c>
      <c r="AD63" s="13" t="n">
        <f aca="false">IF(ISBLANK(D63),"-",$A$4/16 * 2^((C63-1)/12))</f>
        <v>493.883301256124</v>
      </c>
      <c r="AE63" s="13" t="n">
        <f aca="false">AG63/(AG$9*SQRT(1+$L63*AG$9^2))</f>
        <v>493.750943029314</v>
      </c>
      <c r="AF63" s="13" t="n">
        <f aca="false">$AE63*AF$9*SQRT(1+$L63*AF$9^2)</f>
        <v>988.889349236445</v>
      </c>
      <c r="AG63" s="13" t="n">
        <f aca="false">AF51</f>
        <v>493.924467273421</v>
      </c>
      <c r="AH63" s="19" t="n">
        <f aca="false">IF(AND(C63&gt;12,F51="",AD63&gt;$A$4),AH51*2*(1+N51),IF(AD63&gt;=$A$4/2,AD63,AD63))</f>
        <v>494.036579740416</v>
      </c>
      <c r="AI63" s="19" t="n">
        <f aca="false">IF(AND(C63&gt;12,F51="",AD63&gt;$A$4),AH51*2*(1+N51),IF(AD63&gt;=$A$4/2,AD63,AH75/2/(1+N63)))</f>
        <v>494.036579740416</v>
      </c>
      <c r="AJ63" s="85" t="n">
        <f aca="false">IF(Q63&gt;0,((R63*10^12/PI()/A63^2/D63^2-Paramètres!$B$7*E63^2)*4/PI()/Paramètres!$B$8+E63^2)^0.5,"")</f>
        <v>0.951517052887266</v>
      </c>
      <c r="AK63" s="12" t="n">
        <f aca="false">PI()*Paramètres!$B$7*(E63*A63*D63)^2/10^12</f>
        <v>667.1585815738</v>
      </c>
      <c r="AL63" s="12" t="n">
        <f aca="false">AK63*G63</f>
        <v>2001.4757447214</v>
      </c>
      <c r="AM63" s="80" t="n">
        <f aca="false">AK63/AT63</f>
        <v>0.58793441865944</v>
      </c>
      <c r="AN63" s="85" t="n">
        <f aca="false">(-E63+0.1*Paramètres!$B$7/E63/Paramètres!$B$8/PI()*(AW63^2-E63^2)+(E63^2+3.8*Paramètres!$B$7/Paramètres!$B$8/PI()*(AW63^2-E63^2))^0.5)/2</f>
        <v>0.0258285985859957</v>
      </c>
      <c r="AO63" s="85" t="n">
        <f aca="false">VLOOKUP(C63,Paramètres!$C$30:$F$37,2,1)</f>
        <v>0.5</v>
      </c>
      <c r="AP63" s="85" t="n">
        <f aca="false">VLOOKUP(C63,Paramètres!$C$30:$F$37,4,1)</f>
        <v>0.75</v>
      </c>
      <c r="AQ63" s="11" t="b">
        <f aca="false">AND(I63&gt;=AO63,I63&lt;=AP63)</f>
        <v>1</v>
      </c>
      <c r="AR63" s="12" t="n">
        <f aca="false">HLOOKUP(H63,'Charge de rupture par diamètre'!$D$16:$AC$17,2,0)</f>
        <v>3</v>
      </c>
      <c r="AS63" s="12" t="n">
        <f aca="false">VLOOKUP(E63,'Charge de rupture par diamètre'!$C$16:$AC$53,AR63,1)</f>
        <v>1513</v>
      </c>
      <c r="AT63" s="12" t="n">
        <f aca="false">AS63*Paramètres!$B$9</f>
        <v>1134.75</v>
      </c>
      <c r="AU63" s="79" t="n">
        <f aca="false">PI()*A63^2*D63^2*(Paramètres!$B$7*E63^2+Paramètres!$B$8*PI()/4*(F63^2-E63^2))/10^12</f>
        <v>69.0812927865813</v>
      </c>
      <c r="AV63" s="13" t="n">
        <f aca="false">0.183*(-E63+(E63^2+4*Paramètres!$B$7/PI()/Paramètres!$B$8*(AW63^2-E63^2))^0.5)</f>
        <v>0.00942762067836969</v>
      </c>
      <c r="AW63" s="85" t="n">
        <f aca="false">(R63/PI()/Paramètres!$B$7)^0.5/A63/D63*10^6</f>
        <v>0.946312866797827</v>
      </c>
      <c r="AX63" s="12" t="e">
        <f aca="false">Q63*VLOOKUP(H63,Paramètres!$B$15:$C$18,2,0)*Paramètres!$B$9</f>
        <v>#N/A</v>
      </c>
      <c r="AY63" s="13" t="e">
        <f aca="false">(AX63/PI()/Paramètres!$B$7)^0.5/A63/D63*10^6</f>
        <v>#N/A</v>
      </c>
      <c r="AZ63" s="12" t="n">
        <f aca="false">(IF(F63&gt;0,(F63*F63 -E63*E63)/Paramètres!$B$7*Paramètres!$B$8,0)+E63*E63)*D63*G63</f>
        <v>899.1</v>
      </c>
      <c r="BA63" s="80" t="n">
        <f aca="false">-1+AZ63/AZ62</f>
        <v>-0.0561224489795918</v>
      </c>
      <c r="BB63" s="80" t="n">
        <f aca="false">IF(F63&gt;0,"",0.234*Paramètres!$B$12*10^9*IF(F63&gt;0,E63,E63)^2/Paramètres!$B$7/A63^2/D63^4*10^6)</f>
        <v>0.00106673025405986</v>
      </c>
      <c r="BC63" s="11" t="n">
        <v>2</v>
      </c>
      <c r="BD63" s="80" t="n">
        <f aca="false">BC63*SQRT(1+L63*BC63^2)-BC63</f>
        <v>0.00281004663870421</v>
      </c>
      <c r="BE63" s="11" t="str">
        <f aca="false">IF(F63&gt;0,PI()^2*Paramètres!$B$12*10^9/8/O63*(E63^4+E63^2*F63^2)*10^-12/D63^2/10^-6,"-")</f>
        <v>-</v>
      </c>
      <c r="BF63" s="11" t="n">
        <f aca="false">IF(ISBLANK(D63),"-",PI()^3*E63^4*Paramètres!$B$12*10^9/64/O63/(D63/1000)^2*10^-12)</f>
        <v>0.000703005182307985</v>
      </c>
      <c r="BG63" s="90" t="n">
        <f aca="false">(Paramètres!$B$12*10^9)^0.5/Paramètres!$B$7/2/D63*1000</f>
        <v>77.3703048863633</v>
      </c>
    </row>
    <row r="64" customFormat="false" ht="12.8" hidden="false" customHeight="false" outlineLevel="0" collapsed="false">
      <c r="A64" s="79" t="n">
        <f aca="false">IF(ISBLANK(D64),"-",IF(AND($A$6,$A$4/2&lt;AD64),AG64,AD64))</f>
        <v>523.315323959782</v>
      </c>
      <c r="B64" s="79" t="str">
        <f aca="false">IF(ISBLANK(D64),"",VLOOKUP(MOD(C64-Paramètres!$B$54,12)+1,Paramètres!$B$40:$C$52,2)&amp;" "&amp;(TRUNC((C64-Paramètres!$B$54+120)/12)-10+1))</f>
        <v>Do 4</v>
      </c>
      <c r="C64" s="11" t="n">
        <f aca="false">IF(ISBLANK(D64),"",C63+1)</f>
        <v>52</v>
      </c>
      <c r="D64" s="25" t="n">
        <v>350</v>
      </c>
      <c r="E64" s="6" t="n">
        <v>0.9</v>
      </c>
      <c r="F64" s="6"/>
      <c r="G64" s="25" t="n">
        <v>3</v>
      </c>
      <c r="H64" s="25" t="s">
        <v>73</v>
      </c>
      <c r="I64" s="80" t="n">
        <f aca="false">IF(ISBLANK(D64),"",IF(F64&gt;0,AU64/AT64,AM64))</f>
        <v>0.590564517355557</v>
      </c>
      <c r="J64" s="81" t="str">
        <f aca="false">IF(ISBLANK(D64),"",IF(AQ64,"","]"&amp;AO64&amp;" -- "&amp;AP64&amp;"["))</f>
        <v/>
      </c>
      <c r="K64" s="80" t="n">
        <f aca="false">IF(ISBLANK(D64),"",BA64)</f>
        <v>-0.0540540540540542</v>
      </c>
      <c r="L64" s="82" t="n">
        <f aca="false">IF(ISBLANK(D64),"",IF(F64&gt;0,BF64,BF64))</f>
        <v>0.000782145266480658</v>
      </c>
      <c r="M64" s="80" t="n">
        <f aca="false">IF(ISBLANK(D64),"",IF(F64&gt;0,"-",N64/(2^(1/12)-1)))</f>
        <v>0.0197301857961179</v>
      </c>
      <c r="N64" s="83" t="n">
        <f aca="false">IF(ISBLANK(D64),"",IF(F64&gt;0,"-",1.5*L64))</f>
        <v>0.00117321789972099</v>
      </c>
      <c r="O64" s="12" t="n">
        <f aca="false">IF(ISBLANK(D64),"",IF(F64&gt;0,AU64,AK64))</f>
        <v>670.143086069219</v>
      </c>
      <c r="P64" s="12" t="n">
        <f aca="false">IF(ISBLANK(D64),"",IF(F64&gt;0,AU64*G64,AL64))</f>
        <v>2010.42925820766</v>
      </c>
      <c r="Q64" s="84" t="n">
        <v>0.65</v>
      </c>
      <c r="R64" s="12" t="n">
        <f aca="false">IF(ISBLANK(D64),"",AT64*Q64)</f>
        <v>737.5875</v>
      </c>
      <c r="S64" s="13" t="n">
        <f aca="false">IF(ISBLANK(D64),"",AJ64)</f>
        <v>0.949176416946179</v>
      </c>
      <c r="T64" s="85" t="str">
        <f aca="false">IF(ISBLANK(F64),"",ROUND(S64*10*G64,0)/10/G64)</f>
        <v/>
      </c>
      <c r="U64" s="86" t="str">
        <f aca="false">IF(F64&gt;0,(AJ64-E64)/2,"")</f>
        <v/>
      </c>
      <c r="V64" s="86" t="str">
        <f aca="false">IF(F64&gt;0,AN64,"")</f>
        <v/>
      </c>
      <c r="W64" s="87" t="str">
        <f aca="false">IF(F64&gt;0,IF(U64&lt;Paramètres!$B$5,"!!!",""),"")</f>
        <v/>
      </c>
      <c r="X64" s="88" t="str">
        <f aca="false">IF(U64&lt;&gt;"",IF(U64/3&gt;=Paramètres!$B$5,(S64-E64)/2/3,""),"")</f>
        <v/>
      </c>
      <c r="Y64" s="88" t="str">
        <f aca="false">IF(U64&lt;&gt;"",IF(U64/3&gt;=Paramètres!$B$5,AV64,""),"")</f>
        <v/>
      </c>
      <c r="Z64" s="88" t="str">
        <f aca="false">IF(X64&lt;&gt;"",Y64*2,"")</f>
        <v/>
      </c>
      <c r="AB64" s="1"/>
      <c r="AC64" s="79" t="str">
        <f aca="false">INDEX('Charge de rupture par diamètre'!$C$1:$AC$1,AR64)</f>
        <v>Stephen Paulello France</v>
      </c>
      <c r="AD64" s="13" t="n">
        <f aca="false">IF(ISBLANK(D64),"-",$A$4/16 * 2^((C64-1)/12))</f>
        <v>523.251130601197</v>
      </c>
      <c r="AE64" s="13" t="n">
        <f aca="false">AG64/(AG$9*SQRT(1+$L64*AG$9^2))</f>
        <v>523.110789631876</v>
      </c>
      <c r="AF64" s="13" t="n">
        <f aca="false">$AE64*AF$9*SQRT(1+$L64*AF$9^2)</f>
        <v>1047.85689571939</v>
      </c>
      <c r="AG64" s="13" t="n">
        <f aca="false">AF52</f>
        <v>523.315323959782</v>
      </c>
      <c r="AH64" s="19" t="n">
        <f aca="false">IF(AND(C64&gt;12,F52="",AD64&gt;$A$4),AH52*2*(1+N52),IF(AD64&gt;=$A$4/2,AD64,AD64))</f>
        <v>523.42224042384</v>
      </c>
      <c r="AI64" s="19" t="n">
        <f aca="false">IF(AND(C64&gt;12,F52="",AD64&gt;$A$4),AH52*2*(1+N52),IF(AD64&gt;=$A$4/2,AD64,AH76/2/(1+N64)))</f>
        <v>523.42224042384</v>
      </c>
      <c r="AJ64" s="85" t="n">
        <f aca="false">IF(Q64&gt;0,((R64*10^12/PI()/A64^2/D64^2-Paramètres!$B$7*E64^2)*4/PI()/Paramètres!$B$8+E64^2)^0.5,"")</f>
        <v>0.949176416946179</v>
      </c>
      <c r="AK64" s="12" t="n">
        <f aca="false">PI()*Paramètres!$B$7*(E64*A64*D64)^2/10^12</f>
        <v>670.143086069219</v>
      </c>
      <c r="AL64" s="12" t="n">
        <f aca="false">AK64*G64</f>
        <v>2010.42925820766</v>
      </c>
      <c r="AM64" s="80" t="n">
        <f aca="false">AK64/AT64</f>
        <v>0.590564517355557</v>
      </c>
      <c r="AN64" s="85" t="n">
        <f aca="false">(-E64+0.1*Paramètres!$B$7/E64/Paramètres!$B$8/PI()*(AW64^2-E64^2)+(E64^2+3.8*Paramètres!$B$7/Paramètres!$B$8/PI()*(AW64^2-E64^2))^0.5)/2</f>
        <v>0.0246521290867926</v>
      </c>
      <c r="AO64" s="85" t="n">
        <f aca="false">VLOOKUP(C64,Paramètres!$C$30:$F$37,2,1)</f>
        <v>0.5</v>
      </c>
      <c r="AP64" s="85" t="n">
        <f aca="false">VLOOKUP(C64,Paramètres!$C$30:$F$37,4,1)</f>
        <v>0.75</v>
      </c>
      <c r="AQ64" s="11" t="b">
        <f aca="false">AND(I64&gt;=AO64,I64&lt;=AP64)</f>
        <v>1</v>
      </c>
      <c r="AR64" s="12" t="n">
        <f aca="false">HLOOKUP(H64,'Charge de rupture par diamètre'!$D$16:$AC$17,2,0)</f>
        <v>3</v>
      </c>
      <c r="AS64" s="12" t="n">
        <f aca="false">VLOOKUP(E64,'Charge de rupture par diamètre'!$C$16:$AC$53,AR64,1)</f>
        <v>1513</v>
      </c>
      <c r="AT64" s="12" t="n">
        <f aca="false">AS64*Paramètres!$B$9</f>
        <v>1134.75</v>
      </c>
      <c r="AU64" s="79" t="n">
        <f aca="false">PI()*A64^2*D64^2*(Paramètres!$B$7*E64^2+Paramètres!$B$8*PI()/4*(F64^2-E64^2))/10^12</f>
        <v>69.3903249036299</v>
      </c>
      <c r="AV64" s="13" t="n">
        <f aca="false">0.183*(-E64+(E64^2+4*Paramètres!$B$7/PI()/Paramètres!$B$8*(AW64^2-E64^2))^0.5)</f>
        <v>0.0089992843011507</v>
      </c>
      <c r="AW64" s="85" t="n">
        <f aca="false">(R64/PI()/Paramètres!$B$7)^0.5/A64/D64*10^6</f>
        <v>0.944203297523694</v>
      </c>
      <c r="AX64" s="12" t="e">
        <f aca="false">Q64*VLOOKUP(H64,Paramètres!$B$15:$C$18,2,0)*Paramètres!$B$9</f>
        <v>#N/A</v>
      </c>
      <c r="AY64" s="13" t="e">
        <f aca="false">(AX64/PI()/Paramètres!$B$7)^0.5/A64/D64*10^6</f>
        <v>#N/A</v>
      </c>
      <c r="AZ64" s="12" t="n">
        <f aca="false">(IF(F64&gt;0,(F64*F64 -E64*E64)/Paramètres!$B$7*Paramètres!$B$8,0)+E64*E64)*D64*G64</f>
        <v>850.5</v>
      </c>
      <c r="BA64" s="80" t="n">
        <f aca="false">-1+AZ64/AZ63</f>
        <v>-0.0540540540540542</v>
      </c>
      <c r="BB64" s="80" t="n">
        <f aca="false">IF(F64&gt;0,"",0.234*Paramètres!$B$12*10^9*IF(F64&gt;0,E64,E64)^2/Paramètres!$B$7/A64^2/D64^4*10^6)</f>
        <v>0.00118681631348076</v>
      </c>
      <c r="BC64" s="11" t="n">
        <v>2</v>
      </c>
      <c r="BD64" s="80" t="n">
        <f aca="false">BC64*SQRT(1+L64*BC64^2)-BC64</f>
        <v>0.00312613788140936</v>
      </c>
      <c r="BE64" s="11" t="str">
        <f aca="false">IF(F64&gt;0,PI()^2*Paramètres!$B$12*10^9/8/O64*(E64^4+E64^2*F64^2)*10^-12/D64^2/10^-6,"-")</f>
        <v>-</v>
      </c>
      <c r="BF64" s="11" t="n">
        <f aca="false">IF(ISBLANK(D64),"-",PI()^3*E64^4*Paramètres!$B$12*10^9/64/O64/(D64/1000)^2*10^-12)</f>
        <v>0.000782145266480658</v>
      </c>
      <c r="BG64" s="90" t="n">
        <f aca="false">(Paramètres!$B$12*10^9)^0.5/Paramètres!$B$7/2/D64*1000</f>
        <v>81.7914651655841</v>
      </c>
    </row>
    <row r="65" customFormat="false" ht="12.8" hidden="false" customHeight="false" outlineLevel="0" collapsed="false">
      <c r="A65" s="79" t="n">
        <f aca="false">IF(ISBLANK(D65),"-",IF(AND($A$6,$A$4/2&lt;AD65),AG65,AD65))</f>
        <v>554.443597718153</v>
      </c>
      <c r="B65" s="79" t="str">
        <f aca="false">IF(ISBLANK(D65),"",VLOOKUP(MOD(C65-Paramètres!$B$54,12)+1,Paramètres!$B$40:$C$52,2)&amp;" "&amp;(TRUNC((C65-Paramètres!$B$54+120)/12)-10+1))</f>
        <v>Do# 4</v>
      </c>
      <c r="C65" s="11" t="n">
        <f aca="false">IF(ISBLANK(D65),"",C64+1)</f>
        <v>53</v>
      </c>
      <c r="D65" s="25" t="n">
        <v>329</v>
      </c>
      <c r="E65" s="6" t="n">
        <v>0.9</v>
      </c>
      <c r="F65" s="6"/>
      <c r="G65" s="25" t="n">
        <v>3</v>
      </c>
      <c r="H65" s="25" t="s">
        <v>73</v>
      </c>
      <c r="I65" s="80" t="n">
        <f aca="false">IF(ISBLANK(D65),"",IF(F65&gt;0,AU65/AT65,AM65))</f>
        <v>0.585748113690708</v>
      </c>
      <c r="J65" s="81" t="str">
        <f aca="false">IF(ISBLANK(D65),"",IF(AQ65,"","]"&amp;AO65&amp;" -- "&amp;AP65&amp;"["))</f>
        <v/>
      </c>
      <c r="K65" s="80" t="n">
        <f aca="false">IF(ISBLANK(D65),"",BA65)</f>
        <v>-0.0599999999999999</v>
      </c>
      <c r="L65" s="82" t="n">
        <f aca="false">IF(ISBLANK(D65),"",IF(F65&gt;0,BF65,BF65))</f>
        <v>0.000892458777550509</v>
      </c>
      <c r="M65" s="80" t="n">
        <f aca="false">IF(ISBLANK(D65),"",IF(F65&gt;0,"-",N65/(2^(1/12)-1)))</f>
        <v>0.0225129247098541</v>
      </c>
      <c r="N65" s="83" t="n">
        <f aca="false">IF(ISBLANK(D65),"",IF(F65&gt;0,"-",1.5*L65))</f>
        <v>0.00133868816632576</v>
      </c>
      <c r="O65" s="12" t="n">
        <f aca="false">IF(ISBLANK(D65),"",IF(F65&gt;0,AU65,AK65))</f>
        <v>664.67767201053</v>
      </c>
      <c r="P65" s="12" t="n">
        <f aca="false">IF(ISBLANK(D65),"",IF(F65&gt;0,AU65*G65,AL65))</f>
        <v>1994.03301603159</v>
      </c>
      <c r="Q65" s="84" t="n">
        <v>0.65</v>
      </c>
      <c r="R65" s="12" t="n">
        <f aca="false">IF(ISBLANK(D65),"",AT65*Q65)</f>
        <v>737.5875</v>
      </c>
      <c r="S65" s="13" t="n">
        <f aca="false">IF(ISBLANK(D65),"",AJ65)</f>
        <v>0.953474310937087</v>
      </c>
      <c r="T65" s="85" t="str">
        <f aca="false">IF(ISBLANK(F65),"",ROUND(S65*10*G65,0)/10/G65)</f>
        <v/>
      </c>
      <c r="U65" s="86" t="str">
        <f aca="false">IF(F65&gt;0,(AJ65-E65)/2,"")</f>
        <v/>
      </c>
      <c r="V65" s="86" t="str">
        <f aca="false">IF(F65&gt;0,AN65,"")</f>
        <v/>
      </c>
      <c r="W65" s="87" t="str">
        <f aca="false">IF(F65&gt;0,IF(U65&lt;Paramètres!$B$5,"!!!",""),"")</f>
        <v/>
      </c>
      <c r="X65" s="88" t="str">
        <f aca="false">IF(U65&lt;&gt;"",IF(U65/3&gt;=Paramètres!$B$5,(S65-E65)/2/3,""),"")</f>
        <v/>
      </c>
      <c r="Y65" s="88" t="str">
        <f aca="false">IF(U65&lt;&gt;"",IF(U65/3&gt;=Paramètres!$B$5,AV65,""),"")</f>
        <v/>
      </c>
      <c r="Z65" s="88" t="str">
        <f aca="false">IF(X65&lt;&gt;"",Y65*2,"")</f>
        <v/>
      </c>
      <c r="AB65" s="1"/>
      <c r="AC65" s="79" t="str">
        <f aca="false">INDEX('Charge de rupture par diamètre'!$C$1:$AC$1,AR65)</f>
        <v>Stephen Paulello France</v>
      </c>
      <c r="AD65" s="13" t="n">
        <f aca="false">IF(ISBLANK(D65),"-",$A$4/16 * 2^((C65-1)/12))</f>
        <v>554.365261953744</v>
      </c>
      <c r="AE65" s="13" t="n">
        <f aca="false">AG65/(AG$9*SQRT(1+$L65*AG$9^2))</f>
        <v>554.196354169137</v>
      </c>
      <c r="AF65" s="13" t="n">
        <f aca="false">$AE65*AF$9*SQRT(1+$L65*AF$9^2)</f>
        <v>1110.36933545466</v>
      </c>
      <c r="AG65" s="13" t="n">
        <f aca="false">AF53</f>
        <v>554.443597718153</v>
      </c>
      <c r="AH65" s="19" t="n">
        <f aca="false">IF(AND(C65&gt;12,F53="",AD65&gt;$A$4),AH53*2*(1+N53),IF(AD65&gt;=$A$4/2,AD65,AD65))</f>
        <v>554.544292466515</v>
      </c>
      <c r="AI65" s="19" t="n">
        <f aca="false">IF(AND(C65&gt;12,F53="",AD65&gt;$A$4),AH53*2*(1+N53),IF(AD65&gt;=$A$4/2,AD65,AH77/2/(1+N65)))</f>
        <v>554.544292466515</v>
      </c>
      <c r="AJ65" s="85" t="n">
        <f aca="false">IF(Q65&gt;0,((R65*10^12/PI()/A65^2/D65^2-Paramètres!$B$7*E65^2)*4/PI()/Paramètres!$B$8+E65^2)^0.5,"")</f>
        <v>0.953474310937087</v>
      </c>
      <c r="AK65" s="12" t="n">
        <f aca="false">PI()*Paramètres!$B$7*(E65*A65*D65)^2/10^12</f>
        <v>664.67767201053</v>
      </c>
      <c r="AL65" s="12" t="n">
        <f aca="false">AK65*G65</f>
        <v>1994.03301603159</v>
      </c>
      <c r="AM65" s="80" t="n">
        <f aca="false">AK65/AT65</f>
        <v>0.585748113690708</v>
      </c>
      <c r="AN65" s="85" t="n">
        <f aca="false">(-E65+0.1*Paramètres!$B$7/E65/Paramètres!$B$8/PI()*(AW65^2-E65^2)+(E65^2+3.8*Paramètres!$B$7/Paramètres!$B$8/PI()*(AW65^2-E65^2))^0.5)/2</f>
        <v>0.0268125831088336</v>
      </c>
      <c r="AO65" s="85" t="n">
        <f aca="false">VLOOKUP(C65,Paramètres!$C$30:$F$37,2,1)</f>
        <v>0.5</v>
      </c>
      <c r="AP65" s="85" t="n">
        <f aca="false">VLOOKUP(C65,Paramètres!$C$30:$F$37,4,1)</f>
        <v>0.75</v>
      </c>
      <c r="AQ65" s="11" t="b">
        <f aca="false">AND(I65&gt;=AO65,I65&lt;=AP65)</f>
        <v>1</v>
      </c>
      <c r="AR65" s="12" t="n">
        <f aca="false">HLOOKUP(H65,'Charge de rupture par diamètre'!$D$16:$AC$17,2,0)</f>
        <v>3</v>
      </c>
      <c r="AS65" s="12" t="n">
        <f aca="false">VLOOKUP(E65,'Charge de rupture par diamètre'!$C$16:$AC$53,AR65,1)</f>
        <v>1513</v>
      </c>
      <c r="AT65" s="12" t="n">
        <f aca="false">AS65*Paramètres!$B$9</f>
        <v>1134.75</v>
      </c>
      <c r="AU65" s="79" t="n">
        <f aca="false">PI()*A65^2*D65^2*(Paramètres!$B$7*E65^2+Paramètres!$B$8*PI()/4*(F65^2-E65^2))/10^12</f>
        <v>68.8244056766038</v>
      </c>
      <c r="AV65" s="13" t="n">
        <f aca="false">0.183*(-E65+(E65^2+4*Paramètres!$B$7/PI()/Paramètres!$B$8*(AW65^2-E65^2))^0.5)</f>
        <v>0.00978579890148692</v>
      </c>
      <c r="AW65" s="85" t="n">
        <f aca="false">(R65/PI()/Paramètres!$B$7)^0.5/A65/D65*10^6</f>
        <v>0.948077278410805</v>
      </c>
      <c r="AX65" s="12" t="e">
        <f aca="false">Q65*VLOOKUP(H65,Paramètres!$B$15:$C$18,2,0)*Paramètres!$B$9</f>
        <v>#N/A</v>
      </c>
      <c r="AY65" s="13" t="e">
        <f aca="false">(AX65/PI()/Paramètres!$B$7)^0.5/A65/D65*10^6</f>
        <v>#N/A</v>
      </c>
      <c r="AZ65" s="12" t="n">
        <f aca="false">(IF(F65&gt;0,(F65*F65 -E65*E65)/Paramètres!$B$7*Paramètres!$B$8,0)+E65*E65)*D65*G65</f>
        <v>799.47</v>
      </c>
      <c r="BA65" s="80" t="n">
        <f aca="false">-1+AZ65/AZ64</f>
        <v>-0.0599999999999999</v>
      </c>
      <c r="BB65" s="80" t="n">
        <f aca="false">IF(F65&gt;0,"",0.234*Paramètres!$B$12*10^9*IF(F65&gt;0,E65,E65)^2/Paramètres!$B$7/A65^2/D65^4*10^6)</f>
        <v>0.00135420449588853</v>
      </c>
      <c r="BC65" s="11" t="n">
        <v>2</v>
      </c>
      <c r="BD65" s="80" t="n">
        <f aca="false">BC65*SQRT(1+L65*BC65^2)-BC65</f>
        <v>0.00356665485349117</v>
      </c>
      <c r="BE65" s="11" t="str">
        <f aca="false">IF(F65&gt;0,PI()^2*Paramètres!$B$12*10^9/8/O65*(E65^4+E65^2*F65^2)*10^-12/D65^2/10^-6,"-")</f>
        <v>-</v>
      </c>
      <c r="BF65" s="11" t="n">
        <f aca="false">IF(ISBLANK(D65),"-",PI()^3*E65^4*Paramètres!$B$12*10^9/64/O65/(D65/1000)^2*10^-12)</f>
        <v>0.000892458777550509</v>
      </c>
      <c r="BG65" s="90" t="n">
        <f aca="false">(Paramètres!$B$12*10^9)^0.5/Paramètres!$B$7/2/D65*1000</f>
        <v>87.0121969846639</v>
      </c>
    </row>
    <row r="66" customFormat="false" ht="12.8" hidden="false" customHeight="false" outlineLevel="0" collapsed="false">
      <c r="A66" s="79" t="n">
        <f aca="false">IF(ISBLANK(D66),"-",IF(AND($A$6,$A$4/2&lt;AD66),AG66,AD66))</f>
        <v>587.43946571706</v>
      </c>
      <c r="B66" s="79" t="str">
        <f aca="false">IF(ISBLANK(D66),"",VLOOKUP(MOD(C66-Paramètres!$B$54,12)+1,Paramètres!$B$40:$C$52,2)&amp;" "&amp;(TRUNC((C66-Paramètres!$B$54+120)/12)-10+1))</f>
        <v>Ré 4</v>
      </c>
      <c r="C66" s="11" t="n">
        <f aca="false">IF(ISBLANK(D66),"",C65+1)</f>
        <v>54</v>
      </c>
      <c r="D66" s="25" t="n">
        <v>311</v>
      </c>
      <c r="E66" s="6" t="n">
        <v>0.9</v>
      </c>
      <c r="F66" s="6"/>
      <c r="G66" s="25" t="n">
        <v>3</v>
      </c>
      <c r="H66" s="25" t="s">
        <v>73</v>
      </c>
      <c r="I66" s="80" t="n">
        <f aca="false">IF(ISBLANK(D66),"",IF(F66&gt;0,AU66/AT66,AM66))</f>
        <v>0.587558854369014</v>
      </c>
      <c r="J66" s="81" t="str">
        <f aca="false">IF(ISBLANK(D66),"",IF(AQ66,"","]"&amp;AO66&amp;" -- "&amp;AP66&amp;"["))</f>
        <v/>
      </c>
      <c r="K66" s="80" t="n">
        <f aca="false">IF(ISBLANK(D66),"",BA66)</f>
        <v>-0.054711246200608</v>
      </c>
      <c r="L66" s="82" t="n">
        <f aca="false">IF(ISBLANK(D66),"",IF(F66&gt;0,BF66,BF66))</f>
        <v>0.00099567753043864</v>
      </c>
      <c r="M66" s="80" t="n">
        <f aca="false">IF(ISBLANK(D66),"",IF(F66&gt;0,"-",N66/(2^(1/12)-1)))</f>
        <v>0.0251166931649007</v>
      </c>
      <c r="N66" s="83" t="n">
        <f aca="false">IF(ISBLANK(D66),"",IF(F66&gt;0,"-",1.5*L66))</f>
        <v>0.00149351629565796</v>
      </c>
      <c r="O66" s="12" t="n">
        <f aca="false">IF(ISBLANK(D66),"",IF(F66&gt;0,AU66,AK66))</f>
        <v>666.732409995239</v>
      </c>
      <c r="P66" s="12" t="n">
        <f aca="false">IF(ISBLANK(D66),"",IF(F66&gt;0,AU66*G66,AL66))</f>
        <v>2000.19722998572</v>
      </c>
      <c r="Q66" s="84" t="n">
        <v>0.65</v>
      </c>
      <c r="R66" s="12" t="n">
        <f aca="false">IF(ISBLANK(D66),"",AT66*Q66)</f>
        <v>737.5875</v>
      </c>
      <c r="S66" s="13" t="n">
        <f aca="false">IF(ISBLANK(D66),"",AJ66)</f>
        <v>0.95185252084884</v>
      </c>
      <c r="T66" s="85" t="str">
        <f aca="false">IF(ISBLANK(F66),"",ROUND(S66*10*G66,0)/10/G66)</f>
        <v/>
      </c>
      <c r="U66" s="86" t="str">
        <f aca="false">IF(F66&gt;0,(AJ66-E66)/2,"")</f>
        <v/>
      </c>
      <c r="V66" s="86" t="str">
        <f aca="false">IF(F66&gt;0,AN66,"")</f>
        <v/>
      </c>
      <c r="W66" s="87" t="str">
        <f aca="false">IF(F66&gt;0,IF(U66&lt;Paramètres!$B$5,"!!!",""),"")</f>
        <v/>
      </c>
      <c r="X66" s="88" t="str">
        <f aca="false">IF(U66&lt;&gt;"",IF(U66/3&gt;=Paramètres!$B$5,(S66-E66)/2/3,""),"")</f>
        <v/>
      </c>
      <c r="Y66" s="88" t="str">
        <f aca="false">IF(U66&lt;&gt;"",IF(U66/3&gt;=Paramètres!$B$5,AV66,""),"")</f>
        <v/>
      </c>
      <c r="Z66" s="88" t="str">
        <f aca="false">IF(X66&lt;&gt;"",Y66*2,"")</f>
        <v/>
      </c>
      <c r="AB66" s="1"/>
      <c r="AC66" s="79" t="str">
        <f aca="false">INDEX('Charge de rupture par diamètre'!$C$1:$AC$1,AR66)</f>
        <v>Stephen Paulello France</v>
      </c>
      <c r="AD66" s="13" t="n">
        <f aca="false">IF(ISBLANK(D66),"-",$A$4/16 * 2^((C66-1)/12))</f>
        <v>587.329535834815</v>
      </c>
      <c r="AE66" s="13" t="n">
        <f aca="false">AG66/(AG$9*SQRT(1+$L66*AG$9^2))</f>
        <v>587.147233787283</v>
      </c>
      <c r="AF66" s="13" t="n">
        <f aca="false">$AE66*AF$9*SQRT(1+$L66*AF$9^2)</f>
        <v>1176.63058110115</v>
      </c>
      <c r="AG66" s="13" t="n">
        <f aca="false">AF54</f>
        <v>587.43946571706</v>
      </c>
      <c r="AH66" s="19" t="n">
        <f aca="false">IF(AND(C66&gt;12,F54="",AD66&gt;$A$4),AH54*2*(1+N54),IF(AD66&gt;=$A$4/2,AD66,AD66))</f>
        <v>587.532835566297</v>
      </c>
      <c r="AI66" s="19" t="n">
        <f aca="false">IF(AND(C66&gt;12,F54="",AD66&gt;$A$4),AH54*2*(1+N54),IF(AD66&gt;=$A$4/2,AD66,AH78/2/(1+N66)))</f>
        <v>587.532835566297</v>
      </c>
      <c r="AJ66" s="85" t="n">
        <f aca="false">IF(Q66&gt;0,((R66*10^12/PI()/A66^2/D66^2-Paramètres!$B$7*E66^2)*4/PI()/Paramètres!$B$8+E66^2)^0.5,"")</f>
        <v>0.95185252084884</v>
      </c>
      <c r="AK66" s="12" t="n">
        <f aca="false">PI()*Paramètres!$B$7*(E66*A66*D66)^2/10^12</f>
        <v>666.732409995239</v>
      </c>
      <c r="AL66" s="12" t="n">
        <f aca="false">AK66*G66</f>
        <v>2000.19722998572</v>
      </c>
      <c r="AM66" s="80" t="n">
        <f aca="false">AK66/AT66</f>
        <v>0.587558854369014</v>
      </c>
      <c r="AN66" s="85" t="n">
        <f aca="false">(-E66+0.1*Paramètres!$B$7/E66/Paramètres!$B$8/PI()*(AW66^2-E66^2)+(E66^2+3.8*Paramètres!$B$7/Paramètres!$B$8/PI()*(AW66^2-E66^2))^0.5)/2</f>
        <v>0.0259972368173433</v>
      </c>
      <c r="AO66" s="85" t="n">
        <f aca="false">VLOOKUP(C66,Paramètres!$C$30:$F$37,2,1)</f>
        <v>0.5</v>
      </c>
      <c r="AP66" s="85" t="n">
        <f aca="false">VLOOKUP(C66,Paramètres!$C$30:$F$37,4,1)</f>
        <v>0.75</v>
      </c>
      <c r="AQ66" s="11" t="b">
        <f aca="false">AND(I66&gt;=AO66,I66&lt;=AP66)</f>
        <v>1</v>
      </c>
      <c r="AR66" s="12" t="n">
        <f aca="false">HLOOKUP(H66,'Charge de rupture par diamètre'!$D$16:$AC$17,2,0)</f>
        <v>3</v>
      </c>
      <c r="AS66" s="12" t="n">
        <f aca="false">VLOOKUP(E66,'Charge de rupture par diamètre'!$C$16:$AC$53,AR66,1)</f>
        <v>1513</v>
      </c>
      <c r="AT66" s="12" t="n">
        <f aca="false">AS66*Paramètres!$B$9</f>
        <v>1134.75</v>
      </c>
      <c r="AU66" s="79" t="n">
        <f aca="false">PI()*A66^2*D66^2*(Paramètres!$B$7*E66^2+Paramètres!$B$8*PI()/4*(F66^2-E66^2))/10^12</f>
        <v>69.0371646221404</v>
      </c>
      <c r="AV66" s="13" t="n">
        <f aca="false">0.183*(-E66+(E66^2+4*Paramètres!$B$7/PI()/Paramètres!$B$8*(AW66^2-E66^2))^0.5)</f>
        <v>0.00948901131533773</v>
      </c>
      <c r="AW66" s="85" t="n">
        <f aca="false">(R66/PI()/Paramètres!$B$7)^0.5/A66/D66*10^6</f>
        <v>0.946615257395138</v>
      </c>
      <c r="AX66" s="12" t="e">
        <f aca="false">Q66*VLOOKUP(H66,Paramètres!$B$15:$C$18,2,0)*Paramètres!$B$9</f>
        <v>#N/A</v>
      </c>
      <c r="AY66" s="13" t="e">
        <f aca="false">(AX66/PI()/Paramètres!$B$7)^0.5/A66/D66*10^6</f>
        <v>#N/A</v>
      </c>
      <c r="AZ66" s="12" t="n">
        <f aca="false">(IF(F66&gt;0,(F66*F66 -E66*E66)/Paramètres!$B$7*Paramètres!$B$8,0)+E66*E66)*D66*G66</f>
        <v>755.73</v>
      </c>
      <c r="BA66" s="80" t="n">
        <f aca="false">-1+AZ66/AZ65</f>
        <v>-0.054711246200608</v>
      </c>
      <c r="BB66" s="80" t="n">
        <f aca="false">IF(F66&gt;0,"",0.234*Paramètres!$B$12*10^9*IF(F66&gt;0,E66,E66)^2/Paramètres!$B$7/A66^2/D66^4*10^6)</f>
        <v>0.00151082719123</v>
      </c>
      <c r="BC66" s="11" t="n">
        <v>2</v>
      </c>
      <c r="BD66" s="80" t="n">
        <f aca="false">BC66*SQRT(1+L66*BC66^2)-BC66</f>
        <v>0.0039787525038828</v>
      </c>
      <c r="BE66" s="11" t="str">
        <f aca="false">IF(F66&gt;0,PI()^2*Paramètres!$B$12*10^9/8/O66*(E66^4+E66^2*F66^2)*10^-12/D66^2/10^-6,"-")</f>
        <v>-</v>
      </c>
      <c r="BF66" s="11" t="n">
        <f aca="false">IF(ISBLANK(D66),"-",PI()^3*E66^4*Paramètres!$B$12*10^9/64/O66/(D66/1000)^2*10^-12)</f>
        <v>0.00099567753043864</v>
      </c>
      <c r="BG66" s="90" t="n">
        <f aca="false">(Paramètres!$B$12*10^9)^0.5/Paramètres!$B$7/2/D66*1000</f>
        <v>92.0482726943873</v>
      </c>
    </row>
    <row r="67" customFormat="false" ht="12.8" hidden="false" customHeight="false" outlineLevel="0" collapsed="false">
      <c r="A67" s="79" t="n">
        <f aca="false">IF(ISBLANK(D67),"-",IF(AND($A$6,$A$4/2&lt;AD67),AG67,AD67))</f>
        <v>622.399028005749</v>
      </c>
      <c r="B67" s="79" t="str">
        <f aca="false">IF(ISBLANK(D67),"",VLOOKUP(MOD(C67-Paramètres!$B$54,12)+1,Paramètres!$B$40:$C$52,2)&amp;" "&amp;(TRUNC((C67-Paramètres!$B$54+120)/12)-10+1))</f>
        <v>Ré# 4</v>
      </c>
      <c r="C67" s="11" t="n">
        <f aca="false">IF(ISBLANK(D67),"",C66+1)</f>
        <v>55</v>
      </c>
      <c r="D67" s="25" t="n">
        <v>294</v>
      </c>
      <c r="E67" s="6" t="n">
        <v>0.9</v>
      </c>
      <c r="F67" s="6"/>
      <c r="G67" s="25" t="n">
        <v>3</v>
      </c>
      <c r="H67" s="25" t="s">
        <v>73</v>
      </c>
      <c r="I67" s="80" t="n">
        <f aca="false">IF(ISBLANK(D67),"",IF(F67&gt;0,AU67/AT67,AM67))</f>
        <v>0.589436233743168</v>
      </c>
      <c r="J67" s="81" t="str">
        <f aca="false">IF(ISBLANK(D67),"",IF(AQ67,"","]"&amp;AO67&amp;" -- "&amp;AP67&amp;"["))</f>
        <v/>
      </c>
      <c r="K67" s="80" t="n">
        <f aca="false">IF(ISBLANK(D67),"",BA67)</f>
        <v>-0.0546623794212218</v>
      </c>
      <c r="L67" s="82" t="n">
        <f aca="false">IF(ISBLANK(D67),"",IF(F67&gt;0,BF67,BF67))</f>
        <v>0.00111060434912908</v>
      </c>
      <c r="M67" s="80" t="n">
        <f aca="false">IF(ISBLANK(D67),"",IF(F67&gt;0,"-",N67/(2^(1/12)-1)))</f>
        <v>0.0280158061339302</v>
      </c>
      <c r="N67" s="83" t="n">
        <f aca="false">IF(ISBLANK(D67),"",IF(F67&gt;0,"-",1.5*L67))</f>
        <v>0.00166590652369362</v>
      </c>
      <c r="O67" s="12" t="n">
        <f aca="false">IF(ISBLANK(D67),"",IF(F67&gt;0,AU67,AK67))</f>
        <v>668.86276624006</v>
      </c>
      <c r="P67" s="12" t="n">
        <f aca="false">IF(ISBLANK(D67),"",IF(F67&gt;0,AU67*G67,AL67))</f>
        <v>2006.58829872018</v>
      </c>
      <c r="Q67" s="84" t="n">
        <v>0.65</v>
      </c>
      <c r="R67" s="12" t="n">
        <f aca="false">IF(ISBLANK(D67),"",AT67*Q67)</f>
        <v>737.5875</v>
      </c>
      <c r="S67" s="13" t="n">
        <f aca="false">IF(ISBLANK(D67),"",AJ67)</f>
        <v>0.950178671591556</v>
      </c>
      <c r="T67" s="85" t="str">
        <f aca="false">IF(ISBLANK(F67),"",ROUND(S67*10*G67,0)/10/G67)</f>
        <v/>
      </c>
      <c r="U67" s="86" t="str">
        <f aca="false">IF(F67&gt;0,(AJ67-E67)/2,"")</f>
        <v/>
      </c>
      <c r="V67" s="86" t="str">
        <f aca="false">IF(F67&gt;0,AN67,"")</f>
        <v/>
      </c>
      <c r="W67" s="87" t="str">
        <f aca="false">IF(F67&gt;0,IF(U67&lt;Paramètres!$B$5,"!!!",""),"")</f>
        <v/>
      </c>
      <c r="X67" s="88" t="str">
        <f aca="false">IF(U67&lt;&gt;"",IF(U67/3&gt;=Paramètres!$B$5,(S67-E67)/2/3,""),"")</f>
        <v/>
      </c>
      <c r="Y67" s="88" t="str">
        <f aca="false">IF(U67&lt;&gt;"",IF(U67/3&gt;=Paramètres!$B$5,AV67,""),"")</f>
        <v/>
      </c>
      <c r="Z67" s="88" t="str">
        <f aca="false">IF(X67&lt;&gt;"",Y67*2,"")</f>
        <v/>
      </c>
      <c r="AB67" s="1"/>
      <c r="AC67" s="79" t="str">
        <f aca="false">INDEX('Charge de rupture par diamètre'!$C$1:$AC$1,AR67)</f>
        <v>Stephen Paulello France</v>
      </c>
      <c r="AD67" s="13" t="n">
        <f aca="false">IF(ISBLANK(D67),"-",$A$4/16 * 2^((C67-1)/12))</f>
        <v>622.253967444162</v>
      </c>
      <c r="AE67" s="13" t="n">
        <f aca="false">AG67/(AG$9*SQRT(1+$L67*AG$9^2))</f>
        <v>622.053696090788</v>
      </c>
      <c r="AF67" s="13" t="n">
        <f aca="false">$AE67*AF$9*SQRT(1+$L67*AF$9^2)</f>
        <v>1246.86775207216</v>
      </c>
      <c r="AG67" s="13" t="n">
        <f aca="false">AF55</f>
        <v>622.399028005749</v>
      </c>
      <c r="AH67" s="19" t="n">
        <f aca="false">IF(AND(C67&gt;12,F55="",AD67&gt;$A$4),AH55*2*(1+N55),IF(AD67&gt;=$A$4/2,AD67,AD67))</f>
        <v>622.483845652399</v>
      </c>
      <c r="AI67" s="19" t="n">
        <f aca="false">IF(AND(C67&gt;12,F55="",AD67&gt;$A$4),AH55*2*(1+N55),IF(AD67&gt;=$A$4/2,AD67,AH79/2/(1+N67)))</f>
        <v>622.483845652399</v>
      </c>
      <c r="AJ67" s="85" t="n">
        <f aca="false">IF(Q67&gt;0,((R67*10^12/PI()/A67^2/D67^2-Paramètres!$B$7*E67^2)*4/PI()/Paramètres!$B$8+E67^2)^0.5,"")</f>
        <v>0.950178671591556</v>
      </c>
      <c r="AK67" s="12" t="n">
        <f aca="false">PI()*Paramètres!$B$7*(E67*A67*D67)^2/10^12</f>
        <v>668.86276624006</v>
      </c>
      <c r="AL67" s="12" t="n">
        <f aca="false">AK67*G67</f>
        <v>2006.58829872018</v>
      </c>
      <c r="AM67" s="80" t="n">
        <f aca="false">AK67/AT67</f>
        <v>0.589436233743168</v>
      </c>
      <c r="AN67" s="85" t="n">
        <f aca="false">(-E67+0.1*Paramètres!$B$7/E67/Paramètres!$B$8/PI()*(AW67^2-E67^2)+(E67^2+3.8*Paramètres!$B$7/Paramètres!$B$8/PI()*(AW67^2-E67^2))^0.5)/2</f>
        <v>0.0251558566965308</v>
      </c>
      <c r="AO67" s="85" t="n">
        <f aca="false">VLOOKUP(C67,Paramètres!$C$30:$F$37,2,1)</f>
        <v>0.5</v>
      </c>
      <c r="AP67" s="85" t="n">
        <f aca="false">VLOOKUP(C67,Paramètres!$C$30:$F$37,4,1)</f>
        <v>0.75</v>
      </c>
      <c r="AQ67" s="11" t="b">
        <f aca="false">AND(I67&gt;=AO67,I67&lt;=AP67)</f>
        <v>1</v>
      </c>
      <c r="AR67" s="12" t="n">
        <f aca="false">HLOOKUP(H67,'Charge de rupture par diamètre'!$D$16:$AC$17,2,0)</f>
        <v>3</v>
      </c>
      <c r="AS67" s="12" t="n">
        <f aca="false">VLOOKUP(E67,'Charge de rupture par diamètre'!$C$16:$AC$53,AR67,1)</f>
        <v>1513</v>
      </c>
      <c r="AT67" s="12" t="n">
        <f aca="false">AS67*Paramètres!$B$9</f>
        <v>1134.75</v>
      </c>
      <c r="AU67" s="79" t="n">
        <f aca="false">PI()*A67^2*D67^2*(Paramètres!$B$7*E67^2+Paramètres!$B$8*PI()/4*(F67^2-E67^2))/10^12</f>
        <v>69.257753500936</v>
      </c>
      <c r="AV67" s="13" t="n">
        <f aca="false">0.183*(-E67+(E67^2+4*Paramètres!$B$7/PI()/Paramètres!$B$8*(AW67^2-E67^2))^0.5)</f>
        <v>0.0091826969012547</v>
      </c>
      <c r="AW67" s="85" t="n">
        <f aca="false">(R67/PI()/Paramètres!$B$7)^0.5/A67/D67*10^6</f>
        <v>0.945106550265367</v>
      </c>
      <c r="AX67" s="12" t="e">
        <f aca="false">Q67*VLOOKUP(H67,Paramètres!$B$15:$C$18,2,0)*Paramètres!$B$9</f>
        <v>#N/A</v>
      </c>
      <c r="AY67" s="13" t="e">
        <f aca="false">(AX67/PI()/Paramètres!$B$7)^0.5/A67/D67*10^6</f>
        <v>#N/A</v>
      </c>
      <c r="AZ67" s="12" t="n">
        <f aca="false">(IF(F67&gt;0,(F67*F67 -E67*E67)/Paramètres!$B$7*Paramètres!$B$8,0)+E67*E67)*D67*G67</f>
        <v>714.42</v>
      </c>
      <c r="BA67" s="80" t="n">
        <f aca="false">-1+AZ67/AZ66</f>
        <v>-0.0546623794212218</v>
      </c>
      <c r="BB67" s="80" t="n">
        <f aca="false">IF(F67&gt;0,"",0.234*Paramètres!$B$12*10^9*IF(F67&gt;0,E67,E67)^2/Paramètres!$B$7/A67^2/D67^4*10^6)</f>
        <v>0.0016852155422482</v>
      </c>
      <c r="BC67" s="11" t="n">
        <v>2</v>
      </c>
      <c r="BD67" s="80" t="n">
        <f aca="false">BC67*SQRT(1+L67*BC67^2)-BC67</f>
        <v>0.00443749455703024</v>
      </c>
      <c r="BE67" s="11" t="str">
        <f aca="false">IF(F67&gt;0,PI()^2*Paramètres!$B$12*10^9/8/O67*(E67^4+E67^2*F67^2)*10^-12/D67^2/10^-6,"-")</f>
        <v>-</v>
      </c>
      <c r="BF67" s="11" t="n">
        <f aca="false">IF(ISBLANK(D67),"-",PI()^3*E67^4*Paramètres!$B$12*10^9/64/O67/(D67/1000)^2*10^-12)</f>
        <v>0.00111060434912908</v>
      </c>
      <c r="BG67" s="90" t="n">
        <f aca="false">(Paramètres!$B$12*10^9)^0.5/Paramètres!$B$7/2/D67*1000</f>
        <v>97.3707918637906</v>
      </c>
    </row>
    <row r="68" customFormat="false" ht="12.8" hidden="false" customHeight="false" outlineLevel="0" collapsed="false">
      <c r="A68" s="79" t="n">
        <f aca="false">IF(ISBLANK(D68),"-",IF(AND($A$6,$A$4/2&lt;AD68),AG68,AD68))</f>
        <v>659.447863841813</v>
      </c>
      <c r="B68" s="79" t="str">
        <f aca="false">IF(ISBLANK(D68),"",VLOOKUP(MOD(C68-Paramètres!$B$54,12)+1,Paramètres!$B$40:$C$52,2)&amp;" "&amp;(TRUNC((C68-Paramètres!$B$54+120)/12)-10+1))</f>
        <v>Mi 4</v>
      </c>
      <c r="C68" s="11" t="n">
        <f aca="false">IF(ISBLANK(D68),"",C67+1)</f>
        <v>56</v>
      </c>
      <c r="D68" s="25" t="n">
        <v>278</v>
      </c>
      <c r="E68" s="6" t="n">
        <v>0.9</v>
      </c>
      <c r="F68" s="6"/>
      <c r="G68" s="25" t="n">
        <v>3</v>
      </c>
      <c r="H68" s="25" t="s">
        <v>73</v>
      </c>
      <c r="I68" s="80" t="n">
        <f aca="false">IF(ISBLANK(D68),"",IF(F68&gt;0,AU68/AT68,AM68))</f>
        <v>0.591636392505711</v>
      </c>
      <c r="J68" s="81" t="str">
        <f aca="false">IF(ISBLANK(D68),"",IF(AQ68,"","]"&amp;AO68&amp;" -- "&amp;AP68&amp;"["))</f>
        <v/>
      </c>
      <c r="K68" s="80" t="n">
        <f aca="false">IF(ISBLANK(D68),"",BA68)</f>
        <v>-0.0544217687074832</v>
      </c>
      <c r="L68" s="82" t="n">
        <f aca="false">IF(ISBLANK(D68),"",IF(F68&gt;0,BF68,BF68))</f>
        <v>0.00123750336277465</v>
      </c>
      <c r="M68" s="80" t="n">
        <f aca="false">IF(ISBLANK(D68),"",IF(F68&gt;0,"-",N68/(2^(1/12)-1)))</f>
        <v>0.0312169264677999</v>
      </c>
      <c r="N68" s="83" t="n">
        <f aca="false">IF(ISBLANK(D68),"",IF(F68&gt;0,"-",1.5*L68))</f>
        <v>0.00185625504416197</v>
      </c>
      <c r="O68" s="12" t="n">
        <f aca="false">IF(ISBLANK(D68),"",IF(F68&gt;0,AU68,AK68))</f>
        <v>671.359396395856</v>
      </c>
      <c r="P68" s="12" t="n">
        <f aca="false">IF(ISBLANK(D68),"",IF(F68&gt;0,AU68*G68,AL68))</f>
        <v>2014.07818918757</v>
      </c>
      <c r="Q68" s="84" t="n">
        <v>0.65</v>
      </c>
      <c r="R68" s="12" t="n">
        <f aca="false">IF(ISBLANK(D68),"",AT68*Q68)</f>
        <v>737.5875</v>
      </c>
      <c r="S68" s="13" t="n">
        <f aca="false">IF(ISBLANK(D68),"",AJ68)</f>
        <v>0.948226834947507</v>
      </c>
      <c r="T68" s="85" t="str">
        <f aca="false">IF(ISBLANK(F68),"",ROUND(S68*10*G68,0)/10/G68)</f>
        <v/>
      </c>
      <c r="U68" s="86" t="str">
        <f aca="false">IF(F68&gt;0,(AJ68-E68)/2,"")</f>
        <v/>
      </c>
      <c r="V68" s="86" t="str">
        <f aca="false">IF(F68&gt;0,AN68,"")</f>
        <v/>
      </c>
      <c r="W68" s="87" t="str">
        <f aca="false">IF(F68&gt;0,IF(U68&lt;Paramètres!$B$5,"!!!",""),"")</f>
        <v/>
      </c>
      <c r="X68" s="88" t="str">
        <f aca="false">IF(U68&lt;&gt;"",IF(U68/3&gt;=Paramètres!$B$5,(S68-E68)/2/3,""),"")</f>
        <v/>
      </c>
      <c r="Y68" s="88" t="str">
        <f aca="false">IF(U68&lt;&gt;"",IF(U68/3&gt;=Paramètres!$B$5,AV68,""),"")</f>
        <v/>
      </c>
      <c r="Z68" s="88" t="str">
        <f aca="false">IF(X68&lt;&gt;"",Y68*2,"")</f>
        <v/>
      </c>
      <c r="AB68" s="1"/>
      <c r="AC68" s="79" t="str">
        <f aca="false">INDEX('Charge de rupture par diamètre'!$C$1:$AC$1,AR68)</f>
        <v>Stephen Paulello France</v>
      </c>
      <c r="AD68" s="13" t="n">
        <f aca="false">IF(ISBLANK(D68),"-",$A$4/16 * 2^((C68-1)/12))</f>
        <v>659.25511382574</v>
      </c>
      <c r="AE68" s="13" t="n">
        <f aca="false">AG68/(AG$9*SQRT(1+$L68*AG$9^2))</f>
        <v>659.040207685178</v>
      </c>
      <c r="AF68" s="13" t="n">
        <f aca="false">$AE68*AF$9*SQRT(1+$L68*AF$9^2)</f>
        <v>1321.33864616903</v>
      </c>
      <c r="AG68" s="13" t="n">
        <f aca="false">AF56</f>
        <v>659.447863841813</v>
      </c>
      <c r="AH68" s="19" t="n">
        <f aca="false">IF(AND(C68&gt;12,F56="",AD68&gt;$A$4),AH56*2*(1+N56),IF(AD68&gt;=$A$4/2,AD68,AD68))</f>
        <v>659.522791028251</v>
      </c>
      <c r="AI68" s="19" t="n">
        <f aca="false">IF(AND(C68&gt;12,F56="",AD68&gt;$A$4),AH56*2*(1+N56),IF(AD68&gt;=$A$4/2,AD68,AH80/2/(1+N68)))</f>
        <v>659.522791028251</v>
      </c>
      <c r="AJ68" s="85" t="n">
        <f aca="false">IF(Q68&gt;0,((R68*10^12/PI()/A68^2/D68^2-Paramètres!$B$7*E68^2)*4/PI()/Paramètres!$B$8+E68^2)^0.5,"")</f>
        <v>0.948226834947507</v>
      </c>
      <c r="AK68" s="12" t="n">
        <f aca="false">PI()*Paramètres!$B$7*(E68*A68*D68)^2/10^12</f>
        <v>671.359396395856</v>
      </c>
      <c r="AL68" s="12" t="n">
        <f aca="false">AK68*G68</f>
        <v>2014.07818918757</v>
      </c>
      <c r="AM68" s="80" t="n">
        <f aca="false">AK68/AT68</f>
        <v>0.591636392505711</v>
      </c>
      <c r="AN68" s="85" t="n">
        <f aca="false">(-E68+0.1*Paramètres!$B$7/E68/Paramètres!$B$8/PI()*(AW68^2-E68^2)+(E68^2+3.8*Paramètres!$B$7/Paramètres!$B$8/PI()*(AW68^2-E68^2))^0.5)/2</f>
        <v>0.0241749212035823</v>
      </c>
      <c r="AO68" s="85" t="n">
        <f aca="false">VLOOKUP(C68,Paramètres!$C$30:$F$37,2,1)</f>
        <v>0.5</v>
      </c>
      <c r="AP68" s="85" t="n">
        <f aca="false">VLOOKUP(C68,Paramètres!$C$30:$F$37,4,1)</f>
        <v>0.75</v>
      </c>
      <c r="AQ68" s="11" t="b">
        <f aca="false">AND(I68&gt;=AO68,I68&lt;=AP68)</f>
        <v>1</v>
      </c>
      <c r="AR68" s="12" t="n">
        <f aca="false">HLOOKUP(H68,'Charge de rupture par diamètre'!$D$16:$AC$17,2,0)</f>
        <v>3</v>
      </c>
      <c r="AS68" s="12" t="n">
        <f aca="false">VLOOKUP(E68,'Charge de rupture par diamètre'!$C$16:$AC$53,AR68,1)</f>
        <v>1513</v>
      </c>
      <c r="AT68" s="12" t="n">
        <f aca="false">AS68*Paramètres!$B$9</f>
        <v>1134.75</v>
      </c>
      <c r="AU68" s="79" t="n">
        <f aca="false">PI()*A68^2*D68^2*(Paramètres!$B$7*E68^2+Paramètres!$B$8*PI()/4*(F68^2-E68^2))/10^12</f>
        <v>69.5162684080896</v>
      </c>
      <c r="AV68" s="13" t="n">
        <f aca="false">0.183*(-E68+(E68^2+4*Paramètres!$B$7/PI()/Paramètres!$B$8*(AW68^2-E68^2))^0.5)</f>
        <v>0.00882551079539387</v>
      </c>
      <c r="AW68" s="85" t="n">
        <f aca="false">(R68/PI()/Paramètres!$B$7)^0.5/A68/D68*10^6</f>
        <v>0.943347597237189</v>
      </c>
      <c r="AX68" s="12" t="e">
        <f aca="false">Q68*VLOOKUP(H68,Paramètres!$B$15:$C$18,2,0)*Paramètres!$B$9</f>
        <v>#N/A</v>
      </c>
      <c r="AY68" s="13" t="e">
        <f aca="false">(AX68/PI()/Paramètres!$B$7)^0.5/A68/D68*10^6</f>
        <v>#N/A</v>
      </c>
      <c r="AZ68" s="12" t="n">
        <f aca="false">(IF(F68&gt;0,(F68*F68 -E68*E68)/Paramètres!$B$7*Paramètres!$B$8,0)+E68*E68)*D68*G68</f>
        <v>675.54</v>
      </c>
      <c r="BA68" s="80" t="n">
        <f aca="false">-1+AZ68/AZ67</f>
        <v>-0.0544217687074832</v>
      </c>
      <c r="BB68" s="80" t="n">
        <f aca="false">IF(F68&gt;0,"",0.234*Paramètres!$B$12*10^9*IF(F68&gt;0,E68,E68)^2/Paramètres!$B$7/A68^2/D68^4*10^6)</f>
        <v>0.00187777033483405</v>
      </c>
      <c r="BC68" s="11" t="n">
        <v>2</v>
      </c>
      <c r="BD68" s="80" t="n">
        <f aca="false">BC68*SQRT(1+L68*BC68^2)-BC68</f>
        <v>0.00494390290710989</v>
      </c>
      <c r="BE68" s="11" t="str">
        <f aca="false">IF(F68&gt;0,PI()^2*Paramètres!$B$12*10^9/8/O68*(E68^4+E68^2*F68^2)*10^-12/D68^2/10^-6,"-")</f>
        <v>-</v>
      </c>
      <c r="BF68" s="11" t="n">
        <f aca="false">IF(ISBLANK(D68),"-",PI()^3*E68^4*Paramètres!$B$12*10^9/64/O68/(D68/1000)^2*10^-12)</f>
        <v>0.00123750336277465</v>
      </c>
      <c r="BG68" s="90" t="n">
        <f aca="false">(Paramètres!$B$12*10^9)^0.5/Paramètres!$B$7/2/D68*1000</f>
        <v>102.974866215663</v>
      </c>
    </row>
    <row r="69" customFormat="false" ht="12.8" hidden="false" customHeight="false" outlineLevel="0" collapsed="false">
      <c r="A69" s="79" t="n">
        <f aca="false">IF(ISBLANK(D69),"-",IF(AND($A$6,$A$4/2&lt;AD69),AG69,AD69))</f>
        <v>698.703646623403</v>
      </c>
      <c r="B69" s="79" t="str">
        <f aca="false">IF(ISBLANK(D69),"",VLOOKUP(MOD(C69-Paramètres!$B$54,12)+1,Paramètres!$B$40:$C$52,2)&amp;" "&amp;(TRUNC((C69-Paramètres!$B$54+120)/12)-10+1))</f>
        <v>Fa 4</v>
      </c>
      <c r="C69" s="11" t="n">
        <f aca="false">IF(ISBLANK(D69),"",C68+1)</f>
        <v>57</v>
      </c>
      <c r="D69" s="25" t="n">
        <v>261</v>
      </c>
      <c r="E69" s="6" t="n">
        <v>0.9</v>
      </c>
      <c r="F69" s="6"/>
      <c r="G69" s="25" t="n">
        <v>3</v>
      </c>
      <c r="H69" s="25" t="s">
        <v>73</v>
      </c>
      <c r="I69" s="80" t="n">
        <f aca="false">IF(ISBLANK(D69),"",IF(F69&gt;0,AU69/AT69,AM69))</f>
        <v>0.585425170875946</v>
      </c>
      <c r="J69" s="81" t="str">
        <f aca="false">IF(ISBLANK(D69),"",IF(AQ69,"","]"&amp;AO69&amp;" -- "&amp;AP69&amp;"["))</f>
        <v/>
      </c>
      <c r="K69" s="80" t="n">
        <f aca="false">IF(ISBLANK(D69),"",BA69)</f>
        <v>-0.0611510791366906</v>
      </c>
      <c r="L69" s="82" t="n">
        <f aca="false">IF(ISBLANK(D69),"",IF(F69&gt;0,BF69,BF69))</f>
        <v>0.00141885643379858</v>
      </c>
      <c r="M69" s="80" t="n">
        <f aca="false">IF(ISBLANK(D69),"",IF(F69&gt;0,"-",N69/(2^(1/12)-1)))</f>
        <v>0.0357916901841348</v>
      </c>
      <c r="N69" s="83" t="n">
        <f aca="false">IF(ISBLANK(D69),"",IF(F69&gt;0,"-",1.5*L69))</f>
        <v>0.00212828465069787</v>
      </c>
      <c r="O69" s="12" t="n">
        <f aca="false">IF(ISBLANK(D69),"",IF(F69&gt;0,AU69,AK69))</f>
        <v>664.311212651479</v>
      </c>
      <c r="P69" s="12" t="n">
        <f aca="false">IF(ISBLANK(D69),"",IF(F69&gt;0,AU69*G69,AL69))</f>
        <v>1992.93363795444</v>
      </c>
      <c r="Q69" s="84" t="n">
        <v>0.65</v>
      </c>
      <c r="R69" s="12" t="n">
        <f aca="false">IF(ISBLANK(D69),"",AT69*Q69)</f>
        <v>737.5875</v>
      </c>
      <c r="S69" s="13" t="n">
        <f aca="false">IF(ISBLANK(D69),"",AJ69)</f>
        <v>0.953764317911989</v>
      </c>
      <c r="T69" s="85" t="str">
        <f aca="false">IF(ISBLANK(F69),"",ROUND(S69*10*G69,0)/10/G69)</f>
        <v/>
      </c>
      <c r="U69" s="86" t="str">
        <f aca="false">IF(F69&gt;0,(AJ69-E69)/2,"")</f>
        <v/>
      </c>
      <c r="V69" s="86" t="str">
        <f aca="false">IF(F69&gt;0,AN69,"")</f>
        <v/>
      </c>
      <c r="W69" s="87" t="str">
        <f aca="false">IF(F69&gt;0,IF(U69&lt;Paramètres!$B$5,"!!!",""),"")</f>
        <v/>
      </c>
      <c r="X69" s="88" t="str">
        <f aca="false">IF(U69&lt;&gt;"",IF(U69/3&gt;=Paramètres!$B$5,(S69-E69)/2/3,""),"")</f>
        <v/>
      </c>
      <c r="Y69" s="88" t="str">
        <f aca="false">IF(U69&lt;&gt;"",IF(U69/3&gt;=Paramètres!$B$5,AV69,""),"")</f>
        <v/>
      </c>
      <c r="Z69" s="88" t="str">
        <f aca="false">IF(X69&lt;&gt;"",Y69*2,"")</f>
        <v/>
      </c>
      <c r="AB69" s="1"/>
      <c r="AC69" s="79" t="str">
        <f aca="false">INDEX('Charge de rupture par diamètre'!$C$1:$AC$1,AR69)</f>
        <v>Stephen Paulello France</v>
      </c>
      <c r="AD69" s="13" t="n">
        <f aca="false">IF(ISBLANK(D69),"-",$A$4/16 * 2^((C69-1)/12))</f>
        <v>698.456462866008</v>
      </c>
      <c r="AE69" s="13" t="n">
        <f aca="false">AG69/(AG$9*SQRT(1+$L69*AG$9^2))</f>
        <v>698.208493392492</v>
      </c>
      <c r="AF69" s="13" t="n">
        <f aca="false">$AE69*AF$9*SQRT(1+$L69*AF$9^2)</f>
        <v>1400.3740107316</v>
      </c>
      <c r="AG69" s="13" t="n">
        <f aca="false">AF57</f>
        <v>698.703646623403</v>
      </c>
      <c r="AH69" s="19" t="n">
        <f aca="false">IF(AND(C69&gt;12,F57="",AD69&gt;$A$4),AH57*2*(1+N57),IF(AD69&gt;=$A$4/2,AD69,AD69))</f>
        <v>698.767209659734</v>
      </c>
      <c r="AI69" s="19" t="n">
        <f aca="false">IF(AND(C69&gt;12,F57="",AD69&gt;$A$4),AH57*2*(1+N57),IF(AD69&gt;=$A$4/2,AD69,AH81/2/(1+N69)))</f>
        <v>698.767209659734</v>
      </c>
      <c r="AJ69" s="85" t="n">
        <f aca="false">IF(Q69&gt;0,((R69*10^12/PI()/A69^2/D69^2-Paramètres!$B$7*E69^2)*4/PI()/Paramètres!$B$8+E69^2)^0.5,"")</f>
        <v>0.953764317911989</v>
      </c>
      <c r="AK69" s="12" t="n">
        <f aca="false">PI()*Paramètres!$B$7*(E69*A69*D69)^2/10^12</f>
        <v>664.311212651479</v>
      </c>
      <c r="AL69" s="12" t="n">
        <f aca="false">AK69*G69</f>
        <v>1992.93363795444</v>
      </c>
      <c r="AM69" s="80" t="n">
        <f aca="false">AK69/AT69</f>
        <v>0.585425170875946</v>
      </c>
      <c r="AN69" s="85" t="n">
        <f aca="false">(-E69+0.1*Paramètres!$B$7/E69/Paramètres!$B$8/PI()*(AW69^2-E69^2)+(E69^2+3.8*Paramètres!$B$7/Paramètres!$B$8/PI()*(AW69^2-E69^2))^0.5)/2</f>
        <v>0.0269583964759244</v>
      </c>
      <c r="AO69" s="85" t="n">
        <f aca="false">VLOOKUP(C69,Paramètres!$C$30:$F$37,2,1)</f>
        <v>0.5</v>
      </c>
      <c r="AP69" s="85" t="n">
        <f aca="false">VLOOKUP(C69,Paramètres!$C$30:$F$37,4,1)</f>
        <v>0.75</v>
      </c>
      <c r="AQ69" s="11" t="b">
        <f aca="false">AND(I69&gt;=AO69,I69&lt;=AP69)</f>
        <v>1</v>
      </c>
      <c r="AR69" s="12" t="n">
        <f aca="false">HLOOKUP(H69,'Charge de rupture par diamètre'!$D$16:$AC$17,2,0)</f>
        <v>3</v>
      </c>
      <c r="AS69" s="12" t="n">
        <f aca="false">VLOOKUP(E69,'Charge de rupture par diamètre'!$C$16:$AC$53,AR69,1)</f>
        <v>1513</v>
      </c>
      <c r="AT69" s="12" t="n">
        <f aca="false">AS69*Paramètres!$B$9</f>
        <v>1134.75</v>
      </c>
      <c r="AU69" s="79" t="n">
        <f aca="false">PI()*A69^2*D69^2*(Paramètres!$B$7*E69^2+Paramètres!$B$8*PI()/4*(F69^2-E69^2))/10^12</f>
        <v>68.7864604459252</v>
      </c>
      <c r="AV69" s="13" t="n">
        <f aca="false">0.183*(-E69+(E69^2+4*Paramètres!$B$7/PI()/Paramètres!$B$8*(AW69^2-E69^2))^0.5)</f>
        <v>0.00983887017789394</v>
      </c>
      <c r="AW69" s="85" t="n">
        <f aca="false">(R69/PI()/Paramètres!$B$7)^0.5/A69/D69*10^6</f>
        <v>0.948338740120484</v>
      </c>
      <c r="AX69" s="12" t="e">
        <f aca="false">Q69*VLOOKUP(H69,Paramètres!$B$15:$C$18,2,0)*Paramètres!$B$9</f>
        <v>#N/A</v>
      </c>
      <c r="AY69" s="13" t="e">
        <f aca="false">(AX69/PI()/Paramètres!$B$7)^0.5/A69/D69*10^6</f>
        <v>#N/A</v>
      </c>
      <c r="AZ69" s="12" t="n">
        <f aca="false">(IF(F69&gt;0,(F69*F69 -E69*E69)/Paramètres!$B$7*Paramètres!$B$8,0)+E69*E69)*D69*G69</f>
        <v>634.23</v>
      </c>
      <c r="BA69" s="80" t="n">
        <f aca="false">-1+AZ69/AZ68</f>
        <v>-0.0611510791366906</v>
      </c>
      <c r="BB69" s="80" t="n">
        <f aca="false">IF(F69&gt;0,"",0.234*Paramètres!$B$12*10^9*IF(F69&gt;0,E69,E69)^2/Paramètres!$B$7/A69^2/D69^4*10^6)</f>
        <v>0.0021529529542463</v>
      </c>
      <c r="BC69" s="11" t="n">
        <v>2</v>
      </c>
      <c r="BD69" s="80" t="n">
        <f aca="false">BC69*SQRT(1+L69*BC69^2)-BC69</f>
        <v>0.00566739589114773</v>
      </c>
      <c r="BE69" s="11" t="str">
        <f aca="false">IF(F69&gt;0,PI()^2*Paramètres!$B$12*10^9/8/O69*(E69^4+E69^2*F69^2)*10^-12/D69^2/10^-6,"-")</f>
        <v>-</v>
      </c>
      <c r="BF69" s="11" t="n">
        <f aca="false">IF(ISBLANK(D69),"-",PI()^3*E69^4*Paramètres!$B$12*10^9/64/O69/(D69/1000)^2*10^-12)</f>
        <v>0.00141885643379858</v>
      </c>
      <c r="BG69" s="90" t="n">
        <f aca="false">(Paramètres!$B$12*10^9)^0.5/Paramètres!$B$7/2/D69*1000</f>
        <v>109.682041409787</v>
      </c>
    </row>
    <row r="70" customFormat="false" ht="12.8" hidden="false" customHeight="false" outlineLevel="0" collapsed="false">
      <c r="A70" s="79" t="n">
        <f aca="false">IF(ISBLANK(D70),"-",IF(AND($A$6,$A$4/2&lt;AD70),AG70,AD70))</f>
        <v>740.308793335639</v>
      </c>
      <c r="B70" s="79" t="str">
        <f aca="false">IF(ISBLANK(D70),"",VLOOKUP(MOD(C70-Paramètres!$B$54,12)+1,Paramètres!$B$40:$C$52,2)&amp;" "&amp;(TRUNC((C70-Paramètres!$B$54+120)/12)-10+1))</f>
        <v>Fa# 4</v>
      </c>
      <c r="C70" s="11" t="n">
        <f aca="false">IF(ISBLANK(D70),"",C69+1)</f>
        <v>58</v>
      </c>
      <c r="D70" s="25" t="n">
        <v>250</v>
      </c>
      <c r="E70" s="6" t="n">
        <v>0.9</v>
      </c>
      <c r="F70" s="6"/>
      <c r="G70" s="25" t="n">
        <v>3</v>
      </c>
      <c r="H70" s="25" t="s">
        <v>73</v>
      </c>
      <c r="I70" s="80" t="n">
        <f aca="false">IF(ISBLANK(D70),"",IF(F70&gt;0,AU70/AT70,AM70))</f>
        <v>0.602990111437452</v>
      </c>
      <c r="J70" s="81" t="str">
        <f aca="false">IF(ISBLANK(D70),"",IF(AQ70,"","]"&amp;AO70&amp;" -- "&amp;AP70&amp;"["))</f>
        <v/>
      </c>
      <c r="K70" s="80" t="n">
        <f aca="false">IF(ISBLANK(D70),"",BA70)</f>
        <v>-0.0421455938697318</v>
      </c>
      <c r="L70" s="82" t="n">
        <f aca="false">IF(ISBLANK(D70),"",IF(F70&gt;0,BF70,BF70))</f>
        <v>0.00150141466129836</v>
      </c>
      <c r="M70" s="80" t="n">
        <f aca="false">IF(ISBLANK(D70),"",IF(F70&gt;0,"-",N70/(2^(1/12)-1)))</f>
        <v>0.0378742817913157</v>
      </c>
      <c r="N70" s="83" t="n">
        <f aca="false">IF(ISBLANK(D70),"",IF(F70&gt;0,"-",1.5*L70))</f>
        <v>0.00225212199194754</v>
      </c>
      <c r="O70" s="12" t="n">
        <f aca="false">IF(ISBLANK(D70),"",IF(F70&gt;0,AU70,AK70))</f>
        <v>684.243028953649</v>
      </c>
      <c r="P70" s="12" t="n">
        <f aca="false">IF(ISBLANK(D70),"",IF(F70&gt;0,AU70*G70,AL70))</f>
        <v>2052.72908686095</v>
      </c>
      <c r="Q70" s="84" t="n">
        <v>0.65</v>
      </c>
      <c r="R70" s="12" t="n">
        <f aca="false">IF(ISBLANK(D70),"",AT70*Q70)</f>
        <v>737.5875</v>
      </c>
      <c r="S70" s="13" t="n">
        <f aca="false">IF(ISBLANK(D70),"",AJ70)</f>
        <v>0.938319066845337</v>
      </c>
      <c r="T70" s="85" t="str">
        <f aca="false">IF(ISBLANK(F70),"",ROUND(S70*10*G70,0)/10/G70)</f>
        <v/>
      </c>
      <c r="U70" s="86" t="str">
        <f aca="false">IF(F70&gt;0,(AJ70-E70)/2,"")</f>
        <v/>
      </c>
      <c r="V70" s="86" t="str">
        <f aca="false">IF(F70&gt;0,AN70,"")</f>
        <v/>
      </c>
      <c r="W70" s="87" t="str">
        <f aca="false">IF(F70&gt;0,IF(U70&lt;Paramètres!$B$5,"!!!",""),"")</f>
        <v/>
      </c>
      <c r="X70" s="88" t="str">
        <f aca="false">IF(U70&lt;&gt;"",IF(U70/3&gt;=Paramètres!$B$5,(S70-E70)/2/3,""),"")</f>
        <v/>
      </c>
      <c r="Y70" s="88" t="str">
        <f aca="false">IF(U70&lt;&gt;"",IF(U70/3&gt;=Paramètres!$B$5,AV70,""),"")</f>
        <v/>
      </c>
      <c r="Z70" s="88" t="str">
        <f aca="false">IF(X70&lt;&gt;"",Y70*2,"")</f>
        <v/>
      </c>
      <c r="AB70" s="1"/>
      <c r="AC70" s="79" t="str">
        <f aca="false">INDEX('Charge de rupture par diamètre'!$C$1:$AC$1,AR70)</f>
        <v>Stephen Paulello France</v>
      </c>
      <c r="AD70" s="13" t="n">
        <f aca="false">IF(ISBLANK(D70),"-",$A$4/16 * 2^((C70-1)/12))</f>
        <v>739.988845423269</v>
      </c>
      <c r="AE70" s="13" t="n">
        <f aca="false">AG70/(AG$9*SQRT(1+$L70*AG$9^2))</f>
        <v>739.753663129857</v>
      </c>
      <c r="AF70" s="13" t="n">
        <f aca="false">$AE70*AF$9*SQRT(1+$L70*AF$9^2)</f>
        <v>1483.94338385015</v>
      </c>
      <c r="AG70" s="13" t="n">
        <f aca="false">AF58</f>
        <v>740.308793335639</v>
      </c>
      <c r="AH70" s="19" t="n">
        <f aca="false">IF(AND(C70&gt;12,F58="",AD70&gt;$A$4),AH58*2*(1+N58),IF(AD70&gt;=$A$4/2,AD70,AD70))</f>
        <v>740.359391973601</v>
      </c>
      <c r="AI70" s="19" t="n">
        <f aca="false">IF(AND(C70&gt;12,F58="",AD70&gt;$A$4),AH58*2*(1+N58),IF(AD70&gt;=$A$4/2,AD70,AH82/2/(1+N70)))</f>
        <v>740.359391973601</v>
      </c>
      <c r="AJ70" s="85" t="n">
        <f aca="false">IF(Q70&gt;0,((R70*10^12/PI()/A70^2/D70^2-Paramètres!$B$7*E70^2)*4/PI()/Paramètres!$B$8+E70^2)^0.5,"")</f>
        <v>0.938319066845337</v>
      </c>
      <c r="AK70" s="12" t="n">
        <f aca="false">PI()*Paramètres!$B$7*(E70*A70*D70)^2/10^12</f>
        <v>684.243028953649</v>
      </c>
      <c r="AL70" s="12" t="n">
        <f aca="false">AK70*G70</f>
        <v>2052.72908686095</v>
      </c>
      <c r="AM70" s="80" t="n">
        <f aca="false">AK70/AT70</f>
        <v>0.602990111437452</v>
      </c>
      <c r="AN70" s="85" t="n">
        <f aca="false">(-E70+0.1*Paramètres!$B$7/E70/Paramètres!$B$8/PI()*(AW70^2-E70^2)+(E70^2+3.8*Paramètres!$B$7/Paramètres!$B$8/PI()*(AW70^2-E70^2))^0.5)/2</f>
        <v>0.0191985477125476</v>
      </c>
      <c r="AO70" s="85" t="n">
        <f aca="false">VLOOKUP(C70,Paramètres!$C$30:$F$37,2,1)</f>
        <v>0.5</v>
      </c>
      <c r="AP70" s="85" t="n">
        <f aca="false">VLOOKUP(C70,Paramètres!$C$30:$F$37,4,1)</f>
        <v>0.75</v>
      </c>
      <c r="AQ70" s="11" t="b">
        <f aca="false">AND(I70&gt;=AO70,I70&lt;=AP70)</f>
        <v>1</v>
      </c>
      <c r="AR70" s="12" t="n">
        <f aca="false">HLOOKUP(H70,'Charge de rupture par diamètre'!$D$16:$AC$17,2,0)</f>
        <v>3</v>
      </c>
      <c r="AS70" s="12" t="n">
        <f aca="false">VLOOKUP(E70,'Charge de rupture par diamètre'!$C$16:$AC$53,AR70,1)</f>
        <v>1513</v>
      </c>
      <c r="AT70" s="12" t="n">
        <f aca="false">AS70*Paramètres!$B$9</f>
        <v>1134.75</v>
      </c>
      <c r="AU70" s="79" t="n">
        <f aca="false">PI()*A70^2*D70^2*(Paramètres!$B$7*E70^2+Paramètres!$B$8*PI()/4*(F70^2-E70^2))/10^12</f>
        <v>70.8503110442199</v>
      </c>
      <c r="AV70" s="13" t="n">
        <f aca="false">0.183*(-E70+(E70^2+4*Paramètres!$B$7/PI()/Paramètres!$B$8*(AW70^2-E70^2))^0.5)</f>
        <v>0.00701238923269672</v>
      </c>
      <c r="AW70" s="85" t="n">
        <f aca="false">(R70/PI()/Paramètres!$B$7)^0.5/A70/D70*10^6</f>
        <v>0.934424232922598</v>
      </c>
      <c r="AX70" s="12" t="e">
        <f aca="false">Q70*VLOOKUP(H70,Paramètres!$B$15:$C$18,2,0)*Paramètres!$B$9</f>
        <v>#N/A</v>
      </c>
      <c r="AY70" s="13" t="e">
        <f aca="false">(AX70/PI()/Paramètres!$B$7)^0.5/A70/D70*10^6</f>
        <v>#N/A</v>
      </c>
      <c r="AZ70" s="12" t="n">
        <f aca="false">(IF(F70&gt;0,(F70*F70 -E70*E70)/Paramètres!$B$7*Paramètres!$B$8,0)+E70*E70)*D70*G70</f>
        <v>607.5</v>
      </c>
      <c r="BA70" s="80" t="n">
        <f aca="false">-1+AZ70/AZ69</f>
        <v>-0.0421455938697318</v>
      </c>
      <c r="BB70" s="80" t="n">
        <f aca="false">IF(F70&gt;0,"",0.234*Paramètres!$B$12*10^9*IF(F70&gt;0,E70,E70)^2/Paramètres!$B$7/A70^2/D70^4*10^6)</f>
        <v>0.00227822565665575</v>
      </c>
      <c r="BC70" s="11" t="n">
        <v>2</v>
      </c>
      <c r="BD70" s="80" t="n">
        <f aca="false">BC70*SQRT(1+L70*BC70^2)-BC70</f>
        <v>0.00599666863650938</v>
      </c>
      <c r="BE70" s="11" t="str">
        <f aca="false">IF(F70&gt;0,PI()^2*Paramètres!$B$12*10^9/8/O70*(E70^4+E70^2*F70^2)*10^-12/D70^2/10^-6,"-")</f>
        <v>-</v>
      </c>
      <c r="BF70" s="11" t="n">
        <f aca="false">IF(ISBLANK(D70),"-",PI()^3*E70^4*Paramètres!$B$12*10^9/64/O70/(D70/1000)^2*10^-12)</f>
        <v>0.00150141466129836</v>
      </c>
      <c r="BG70" s="90" t="n">
        <f aca="false">(Paramètres!$B$12*10^9)^0.5/Paramètres!$B$7/2/D70*1000</f>
        <v>114.508051231818</v>
      </c>
    </row>
    <row r="71" customFormat="false" ht="12.8" hidden="false" customHeight="false" outlineLevel="0" collapsed="false">
      <c r="A71" s="79" t="n">
        <f aca="false">IF(ISBLANK(D71),"-",IF(AND($A$6,$A$4/2&lt;AD71),AG71,AD71))</f>
        <v>784.523789618667</v>
      </c>
      <c r="B71" s="79" t="str">
        <f aca="false">IF(ISBLANK(D71),"",VLOOKUP(MOD(C71-Paramètres!$B$54,12)+1,Paramètres!$B$40:$C$52,2)&amp;" "&amp;(TRUNC((C71-Paramètres!$B$54+120)/12)-10+1))</f>
        <v>Sol 4</v>
      </c>
      <c r="C71" s="11" t="n">
        <f aca="false">IF(ISBLANK(D71),"",C70+1)</f>
        <v>59</v>
      </c>
      <c r="D71" s="25" t="n">
        <v>237</v>
      </c>
      <c r="E71" s="6" t="n">
        <v>0.9</v>
      </c>
      <c r="F71" s="6"/>
      <c r="G71" s="25" t="n">
        <v>3</v>
      </c>
      <c r="H71" s="25" t="s">
        <v>73</v>
      </c>
      <c r="I71" s="80" t="n">
        <f aca="false">IF(ISBLANK(D71),"",IF(F71&gt;0,AU71/AT71,AM71))</f>
        <v>0.608573845602505</v>
      </c>
      <c r="J71" s="81" t="str">
        <f aca="false">IF(ISBLANK(D71),"",IF(AQ71,"","]"&amp;AO71&amp;" -- "&amp;AP71&amp;"["))</f>
        <v/>
      </c>
      <c r="K71" s="80" t="n">
        <f aca="false">IF(ISBLANK(D71),"",BA71)</f>
        <v>-0.052</v>
      </c>
      <c r="L71" s="82" t="n">
        <f aca="false">IF(ISBLANK(D71),"",IF(F71&gt;0,BF71,BF71))</f>
        <v>0.00165531588957656</v>
      </c>
      <c r="M71" s="80" t="n">
        <f aca="false">IF(ISBLANK(D71),"",IF(F71&gt;0,"-",N71/(2^(1/12)-1)))</f>
        <v>0.0417565527175883</v>
      </c>
      <c r="N71" s="83" t="n">
        <f aca="false">IF(ISBLANK(D71),"",IF(F71&gt;0,"-",1.5*L71))</f>
        <v>0.00248297383436484</v>
      </c>
      <c r="O71" s="12" t="n">
        <f aca="false">IF(ISBLANK(D71),"",IF(F71&gt;0,AU71,AK71))</f>
        <v>690.579171297443</v>
      </c>
      <c r="P71" s="12" t="n">
        <f aca="false">IF(ISBLANK(D71),"",IF(F71&gt;0,AU71*G71,AL71))</f>
        <v>2071.73751389233</v>
      </c>
      <c r="Q71" s="84" t="n">
        <v>0.65</v>
      </c>
      <c r="R71" s="12" t="n">
        <f aca="false">IF(ISBLANK(D71),"",AT71*Q71)</f>
        <v>737.5875</v>
      </c>
      <c r="S71" s="13" t="n">
        <f aca="false">IF(ISBLANK(D71),"",AJ71)</f>
        <v>0.933544905242368</v>
      </c>
      <c r="T71" s="85" t="str">
        <f aca="false">IF(ISBLANK(F71),"",ROUND(S71*10*G71,0)/10/G71)</f>
        <v/>
      </c>
      <c r="U71" s="86" t="str">
        <f aca="false">IF(F71&gt;0,(AJ71-E71)/2,"")</f>
        <v/>
      </c>
      <c r="V71" s="86" t="str">
        <f aca="false">IF(F71&gt;0,AN71,"")</f>
        <v/>
      </c>
      <c r="W71" s="87" t="str">
        <f aca="false">IF(F71&gt;0,IF(U71&lt;Paramètres!$B$5,"!!!",""),"")</f>
        <v/>
      </c>
      <c r="X71" s="88" t="str">
        <f aca="false">IF(U71&lt;&gt;"",IF(U71/3&gt;=Paramètres!$B$5,(S71-E71)/2/3,""),"")</f>
        <v/>
      </c>
      <c r="Y71" s="88" t="str">
        <f aca="false">IF(U71&lt;&gt;"",IF(U71/3&gt;=Paramètres!$B$5,AV71,""),"")</f>
        <v/>
      </c>
      <c r="Z71" s="88" t="str">
        <f aca="false">IF(X71&lt;&gt;"",Y71*2,"")</f>
        <v/>
      </c>
      <c r="AB71" s="1"/>
      <c r="AC71" s="79" t="str">
        <f aca="false">INDEX('Charge de rupture par diamètre'!$C$1:$AC$1,AR71)</f>
        <v>Stephen Paulello France</v>
      </c>
      <c r="AD71" s="13" t="n">
        <f aca="false">IF(ISBLANK(D71),"-",$A$4/16 * 2^((C71-1)/12))</f>
        <v>783.990871963498</v>
      </c>
      <c r="AE71" s="13" t="n">
        <f aca="false">AG71/(AG$9*SQRT(1+$L71*AG$9^2))</f>
        <v>783.875277279929</v>
      </c>
      <c r="AF71" s="13" t="n">
        <f aca="false">$AE71*AF$9*SQRT(1+$L71*AF$9^2)</f>
        <v>1572.93223619898</v>
      </c>
      <c r="AG71" s="13" t="n">
        <f aca="false">AF59</f>
        <v>784.523789618667</v>
      </c>
      <c r="AH71" s="19" t="n">
        <f aca="false">IF(AND(C71&gt;12,F59="",AD71&gt;$A$4),AH59*2*(1+N59),IF(AD71&gt;=$A$4/2,AD71,AD71))</f>
        <v>784.55986478003</v>
      </c>
      <c r="AI71" s="19" t="n">
        <f aca="false">IF(AND(C71&gt;12,F59="",AD71&gt;$A$4),AH59*2*(1+N59),IF(AD71&gt;=$A$4/2,AD71,AH83/2/(1+N71)))</f>
        <v>784.55986478003</v>
      </c>
      <c r="AJ71" s="85" t="n">
        <f aca="false">IF(Q71&gt;0,((R71*10^12/PI()/A71^2/D71^2-Paramètres!$B$7*E71^2)*4/PI()/Paramètres!$B$8+E71^2)^0.5,"")</f>
        <v>0.933544905242368</v>
      </c>
      <c r="AK71" s="12" t="n">
        <f aca="false">PI()*Paramètres!$B$7*(E71*A71*D71)^2/10^12</f>
        <v>690.579171297443</v>
      </c>
      <c r="AL71" s="12" t="n">
        <f aca="false">AK71*G71</f>
        <v>2071.73751389233</v>
      </c>
      <c r="AM71" s="80" t="n">
        <f aca="false">AK71/AT71</f>
        <v>0.608573845602505</v>
      </c>
      <c r="AN71" s="85" t="n">
        <f aca="false">(-E71+0.1*Paramètres!$B$7/E71/Paramètres!$B$8/PI()*(AW71^2-E71^2)+(E71^2+3.8*Paramètres!$B$7/Paramètres!$B$8/PI()*(AW71^2-E71^2))^0.5)/2</f>
        <v>0.0168024204716868</v>
      </c>
      <c r="AO71" s="85" t="n">
        <f aca="false">VLOOKUP(C71,Paramètres!$C$30:$F$37,2,1)</f>
        <v>0.5</v>
      </c>
      <c r="AP71" s="85" t="n">
        <f aca="false">VLOOKUP(C71,Paramètres!$C$30:$F$37,4,1)</f>
        <v>0.75</v>
      </c>
      <c r="AQ71" s="11" t="b">
        <f aca="false">AND(I71&gt;=AO71,I71&lt;=AP71)</f>
        <v>1</v>
      </c>
      <c r="AR71" s="12" t="n">
        <f aca="false">HLOOKUP(H71,'Charge de rupture par diamètre'!$D$16:$AC$17,2,0)</f>
        <v>3</v>
      </c>
      <c r="AS71" s="12" t="n">
        <f aca="false">VLOOKUP(E71,'Charge de rupture par diamètre'!$C$16:$AC$53,AR71,1)</f>
        <v>1513</v>
      </c>
      <c r="AT71" s="12" t="n">
        <f aca="false">AS71*Paramètres!$B$9</f>
        <v>1134.75</v>
      </c>
      <c r="AU71" s="79" t="n">
        <f aca="false">PI()*A71^2*D71^2*(Paramètres!$B$7*E71^2+Paramètres!$B$8*PI()/4*(F71^2-E71^2))/10^12</f>
        <v>71.5063902980557</v>
      </c>
      <c r="AV71" s="13" t="n">
        <f aca="false">0.183*(-E71+(E71^2+4*Paramètres!$B$7/PI()/Paramètres!$B$8*(AW71^2-E71^2))^0.5)</f>
        <v>0.0061387176593534</v>
      </c>
      <c r="AW71" s="85" t="n">
        <f aca="false">(R71/PI()/Paramètres!$B$7)^0.5/A71/D71*10^6</f>
        <v>0.930127630516243</v>
      </c>
      <c r="AX71" s="12" t="e">
        <f aca="false">Q71*VLOOKUP(H71,Paramètres!$B$15:$C$18,2,0)*Paramètres!$B$9</f>
        <v>#N/A</v>
      </c>
      <c r="AY71" s="13" t="e">
        <f aca="false">(AX71/PI()/Paramètres!$B$7)^0.5/A71/D71*10^6</f>
        <v>#N/A</v>
      </c>
      <c r="AZ71" s="12" t="n">
        <f aca="false">(IF(F71&gt;0,(F71*F71 -E71*E71)/Paramètres!$B$7*Paramètres!$B$8,0)+E71*E71)*D71*G71</f>
        <v>575.91</v>
      </c>
      <c r="BA71" s="80" t="n">
        <f aca="false">-1+AZ71/AZ70</f>
        <v>-0.052</v>
      </c>
      <c r="BB71" s="80" t="n">
        <f aca="false">IF(F71&gt;0,"",0.234*Paramètres!$B$12*10^9*IF(F71&gt;0,E71,E71)^2/Paramètres!$B$7/A71^2/D71^4*10^6)</f>
        <v>0.00251175323294238</v>
      </c>
      <c r="BC71" s="11" t="n">
        <v>2</v>
      </c>
      <c r="BD71" s="80" t="n">
        <f aca="false">BC71*SQRT(1+L71*BC71^2)-BC71</f>
        <v>0.00661033941152223</v>
      </c>
      <c r="BE71" s="11" t="str">
        <f aca="false">IF(F71&gt;0,PI()^2*Paramètres!$B$12*10^9/8/O71*(E71^4+E71^2*F71^2)*10^-12/D71^2/10^-6,"-")</f>
        <v>-</v>
      </c>
      <c r="BF71" s="11" t="n">
        <f aca="false">IF(ISBLANK(D71),"-",PI()^3*E71^4*Paramètres!$B$12*10^9/64/O71/(D71/1000)^2*10^-12)</f>
        <v>0.00165531588957656</v>
      </c>
      <c r="BG71" s="90" t="n">
        <f aca="false">(Paramètres!$B$12*10^9)^0.5/Paramètres!$B$7/2/D71*1000</f>
        <v>120.789083577867</v>
      </c>
    </row>
    <row r="72" customFormat="false" ht="12.8" hidden="false" customHeight="false" outlineLevel="0" collapsed="false">
      <c r="A72" s="79" t="n">
        <f aca="false">IF(ISBLANK(D72),"-",IF(AND($A$6,$A$4/2&lt;AD72),AG72,AD72))</f>
        <v>831.238439126864</v>
      </c>
      <c r="B72" s="79" t="str">
        <f aca="false">IF(ISBLANK(D72),"",VLOOKUP(MOD(C72-Paramètres!$B$54,12)+1,Paramètres!$B$40:$C$52,2)&amp;" "&amp;(TRUNC((C72-Paramètres!$B$54+120)/12)-10+1))</f>
        <v>Sol# 4</v>
      </c>
      <c r="C72" s="11" t="n">
        <f aca="false">IF(ISBLANK(D72),"",C71+1)</f>
        <v>60</v>
      </c>
      <c r="D72" s="25" t="n">
        <v>224</v>
      </c>
      <c r="E72" s="6" t="n">
        <v>0.9</v>
      </c>
      <c r="F72" s="6"/>
      <c r="G72" s="25" t="n">
        <v>3</v>
      </c>
      <c r="H72" s="25" t="s">
        <v>73</v>
      </c>
      <c r="I72" s="80" t="n">
        <f aca="false">IF(ISBLANK(D72),"",IF(F72&gt;0,AU72/AT72,AM72))</f>
        <v>0.610311607588521</v>
      </c>
      <c r="J72" s="81" t="str">
        <f aca="false">IF(ISBLANK(D72),"",IF(AQ72,"","]"&amp;AO72&amp;" -- "&amp;AP72&amp;"["))</f>
        <v/>
      </c>
      <c r="K72" s="80" t="n">
        <f aca="false">IF(ISBLANK(D72),"",BA72)</f>
        <v>-0.0548523206751056</v>
      </c>
      <c r="L72" s="82" t="n">
        <f aca="false">IF(ISBLANK(D72),"",IF(F72&gt;0,BF72,BF72))</f>
        <v>0.00184774992484452</v>
      </c>
      <c r="M72" s="80" t="n">
        <f aca="false">IF(ISBLANK(D72),"",IF(F72&gt;0,"-",N72/(2^(1/12)-1)))</f>
        <v>0.0466108418529268</v>
      </c>
      <c r="N72" s="83" t="n">
        <f aca="false">IF(ISBLANK(D72),"",IF(F72&gt;0,"-",1.5*L72))</f>
        <v>0.00277162488726678</v>
      </c>
      <c r="O72" s="12" t="n">
        <f aca="false">IF(ISBLANK(D72),"",IF(F72&gt;0,AU72,AK72))</f>
        <v>692.551096711075</v>
      </c>
      <c r="P72" s="12" t="n">
        <f aca="false">IF(ISBLANK(D72),"",IF(F72&gt;0,AU72*G72,AL72))</f>
        <v>2077.65329013322</v>
      </c>
      <c r="Q72" s="84" t="n">
        <v>0.65</v>
      </c>
      <c r="R72" s="12" t="n">
        <f aca="false">IF(ISBLANK(D72),"",AT72*Q72)</f>
        <v>737.5875</v>
      </c>
      <c r="S72" s="13" t="n">
        <f aca="false">IF(ISBLANK(D72),"",AJ72)</f>
        <v>0.932072005961222</v>
      </c>
      <c r="T72" s="85" t="str">
        <f aca="false">IF(ISBLANK(F72),"",ROUND(S72*10*G72,0)/10/G72)</f>
        <v/>
      </c>
      <c r="U72" s="86" t="str">
        <f aca="false">IF(F72&gt;0,(AJ72-E72)/2,"")</f>
        <v/>
      </c>
      <c r="V72" s="86" t="str">
        <f aca="false">IF(F72&gt;0,AN72,"")</f>
        <v/>
      </c>
      <c r="W72" s="87" t="str">
        <f aca="false">IF(F72&gt;0,IF(U72&lt;Paramètres!$B$5,"!!!",""),"")</f>
        <v/>
      </c>
      <c r="X72" s="88" t="str">
        <f aca="false">IF(U72&lt;&gt;"",IF(U72/3&gt;=Paramètres!$B$5,(S72-E72)/2/3,""),"")</f>
        <v/>
      </c>
      <c r="Y72" s="88" t="str">
        <f aca="false">IF(U72&lt;&gt;"",IF(U72/3&gt;=Paramètres!$B$5,AV72,""),"")</f>
        <v/>
      </c>
      <c r="Z72" s="88" t="str">
        <f aca="false">IF(X72&lt;&gt;"",Y72*2,"")</f>
        <v/>
      </c>
      <c r="AB72" s="1"/>
      <c r="AC72" s="79" t="str">
        <f aca="false">INDEX('Charge de rupture par diamètre'!$C$1:$AC$1,AR72)</f>
        <v>Stephen Paulello France</v>
      </c>
      <c r="AD72" s="13" t="n">
        <f aca="false">IF(ISBLANK(D72),"-",$A$4/16 * 2^((C72-1)/12))</f>
        <v>830.60939515989</v>
      </c>
      <c r="AE72" s="13" t="n">
        <f aca="false">AG72/(AG$9*SQRT(1+$L72*AG$9^2))</f>
        <v>830.471541358128</v>
      </c>
      <c r="AF72" s="13" t="n">
        <f aca="false">$AE72*AF$9*SQRT(1+$L72*AF$9^2)</f>
        <v>1667.06979783214</v>
      </c>
      <c r="AG72" s="13" t="n">
        <f aca="false">AF60</f>
        <v>831.238439126864</v>
      </c>
      <c r="AH72" s="19" t="n">
        <f aca="false">IF(AND(C72&gt;12,F60="",AD72&gt;$A$4),AH60*2*(1+N60),IF(AD72&gt;=$A$4/2,AD72,AD72))</f>
        <v>831.25788561743</v>
      </c>
      <c r="AI72" s="19" t="n">
        <f aca="false">IF(AND(C72&gt;12,F60="",AD72&gt;$A$4),AH60*2*(1+N60),IF(AD72&gt;=$A$4/2,AD72,AH84/2/(1+N72)))</f>
        <v>831.25788561743</v>
      </c>
      <c r="AJ72" s="85" t="n">
        <f aca="false">IF(Q72&gt;0,((R72*10^12/PI()/A72^2/D72^2-Paramètres!$B$7*E72^2)*4/PI()/Paramètres!$B$8+E72^2)^0.5,"")</f>
        <v>0.932072005961222</v>
      </c>
      <c r="AK72" s="12" t="n">
        <f aca="false">PI()*Paramètres!$B$7*(E72*A72*D72)^2/10^12</f>
        <v>692.551096711075</v>
      </c>
      <c r="AL72" s="12" t="n">
        <f aca="false">AK72*G72</f>
        <v>2077.65329013322</v>
      </c>
      <c r="AM72" s="80" t="n">
        <f aca="false">AK72/AT72</f>
        <v>0.610311607588521</v>
      </c>
      <c r="AN72" s="85" t="n">
        <f aca="false">(-E72+0.1*Paramètres!$B$7/E72/Paramètres!$B$8/PI()*(AW72^2-E72^2)+(E72^2+3.8*Paramètres!$B$7/Paramètres!$B$8/PI()*(AW72^2-E72^2))^0.5)/2</f>
        <v>0.0160634166616848</v>
      </c>
      <c r="AO72" s="85" t="n">
        <f aca="false">VLOOKUP(C72,Paramètres!$C$30:$F$37,2,1)</f>
        <v>0.5</v>
      </c>
      <c r="AP72" s="85" t="n">
        <f aca="false">VLOOKUP(C72,Paramètres!$C$30:$F$37,4,1)</f>
        <v>0.75</v>
      </c>
      <c r="AQ72" s="11" t="b">
        <f aca="false">AND(I72&gt;=AO72,I72&lt;=AP72)</f>
        <v>1</v>
      </c>
      <c r="AR72" s="12" t="n">
        <f aca="false">HLOOKUP(H72,'Charge de rupture par diamètre'!$D$16:$AC$17,2,0)</f>
        <v>3</v>
      </c>
      <c r="AS72" s="12" t="n">
        <f aca="false">VLOOKUP(E72,'Charge de rupture par diamètre'!$C$16:$AC$53,AR72,1)</f>
        <v>1513</v>
      </c>
      <c r="AT72" s="12" t="n">
        <f aca="false">AS72*Paramètres!$B$9</f>
        <v>1134.75</v>
      </c>
      <c r="AU72" s="79" t="n">
        <f aca="false">PI()*A72^2*D72^2*(Paramètres!$B$7*E72^2+Paramètres!$B$8*PI()/4*(F72^2-E72^2))/10^12</f>
        <v>71.7105743715499</v>
      </c>
      <c r="AV72" s="13" t="n">
        <f aca="false">0.183*(-E72+(E72^2+4*Paramètres!$B$7/PI()/Paramètres!$B$8*(AW72^2-E72^2))^0.5)</f>
        <v>0.00586917709090372</v>
      </c>
      <c r="AW72" s="85" t="n">
        <f aca="false">(R72/PI()/Paramètres!$B$7)^0.5/A72/D72*10^6</f>
        <v>0.928802493794921</v>
      </c>
      <c r="AX72" s="12" t="e">
        <f aca="false">Q72*VLOOKUP(H72,Paramètres!$B$15:$C$18,2,0)*Paramètres!$B$9</f>
        <v>#N/A</v>
      </c>
      <c r="AY72" s="13" t="e">
        <f aca="false">(AX72/PI()/Paramètres!$B$7)^0.5/A72/D72*10^6</f>
        <v>#N/A</v>
      </c>
      <c r="AZ72" s="12" t="n">
        <f aca="false">(IF(F72&gt;0,(F72*F72 -E72*E72)/Paramètres!$B$7*Paramètres!$B$8,0)+E72*E72)*D72*G72</f>
        <v>544.32</v>
      </c>
      <c r="BA72" s="80" t="n">
        <f aca="false">-1+AZ72/AZ71</f>
        <v>-0.0548523206751056</v>
      </c>
      <c r="BB72" s="80" t="n">
        <f aca="false">IF(F72&gt;0,"",0.234*Paramètres!$B$12*10^9*IF(F72&gt;0,E72,E72)^2/Paramètres!$B$7/A72^2/D72^4*10^6)</f>
        <v>0.00280374995287726</v>
      </c>
      <c r="BC72" s="11" t="n">
        <v>2</v>
      </c>
      <c r="BD72" s="80" t="n">
        <f aca="false">BC72*SQRT(1+L72*BC72^2)-BC72</f>
        <v>0.00737739321670983</v>
      </c>
      <c r="BE72" s="11" t="str">
        <f aca="false">IF(F72&gt;0,PI()^2*Paramètres!$B$12*10^9/8/O72*(E72^4+E72^2*F72^2)*10^-12/D72^2/10^-6,"-")</f>
        <v>-</v>
      </c>
      <c r="BF72" s="11" t="n">
        <f aca="false">IF(ISBLANK(D72),"-",PI()^3*E72^4*Paramètres!$B$12*10^9/64/O72/(D72/1000)^2*10^-12)</f>
        <v>0.00184774992484452</v>
      </c>
      <c r="BG72" s="90" t="n">
        <f aca="false">(Paramètres!$B$12*10^9)^0.5/Paramètres!$B$7/2/D72*1000</f>
        <v>127.799164321225</v>
      </c>
    </row>
    <row r="73" customFormat="false" ht="12.8" hidden="false" customHeight="false" outlineLevel="0" collapsed="false">
      <c r="A73" s="79" t="n">
        <f aca="false">IF(ISBLANK(D73),"-",IF(AND($A$6,$A$4/2&lt;AD73),AG73,AD73))</f>
        <v>880.752525908138</v>
      </c>
      <c r="B73" s="79" t="str">
        <f aca="false">IF(ISBLANK(D73),"",VLOOKUP(MOD(C73-Paramètres!$B$54,12)+1,Paramètres!$B$40:$C$52,2)&amp;" "&amp;(TRUNC((C73-Paramètres!$B$54+120)/12)-10+1))</f>
        <v>La 4</v>
      </c>
      <c r="C73" s="11" t="n">
        <f aca="false">IF(ISBLANK(D73),"",C72+1)</f>
        <v>61</v>
      </c>
      <c r="D73" s="25" t="n">
        <v>213</v>
      </c>
      <c r="E73" s="6" t="n">
        <v>0.9</v>
      </c>
      <c r="F73" s="6"/>
      <c r="G73" s="25" t="n">
        <v>3</v>
      </c>
      <c r="H73" s="25" t="s">
        <v>73</v>
      </c>
      <c r="I73" s="80" t="n">
        <f aca="false">IF(ISBLANK(D73),"",IF(F73&gt;0,AU73/AT73,AM73))</f>
        <v>0.619542863215343</v>
      </c>
      <c r="J73" s="81" t="str">
        <f aca="false">IF(ISBLANK(D73),"",IF(AQ73,"","]"&amp;AO73&amp;" -- "&amp;AP73&amp;"["))</f>
        <v/>
      </c>
      <c r="K73" s="80" t="n">
        <f aca="false">IF(ISBLANK(D73),"",BA73)</f>
        <v>-0.0491071428571427</v>
      </c>
      <c r="L73" s="82" t="n">
        <f aca="false">IF(ISBLANK(D73),"",IF(F73&gt;0,BF73,BF73))</f>
        <v>0.00201307657154646</v>
      </c>
      <c r="M73" s="80" t="n">
        <f aca="false">IF(ISBLANK(D73),"",IF(F73&gt;0,"-",N73/(2^(1/12)-1)))</f>
        <v>0.0507813273065509</v>
      </c>
      <c r="N73" s="83" t="n">
        <f aca="false">IF(ISBLANK(D73),"",IF(F73&gt;0,"-",1.5*L73))</f>
        <v>0.00301961485731969</v>
      </c>
      <c r="O73" s="12" t="n">
        <f aca="false">IF(ISBLANK(D73),"",IF(F73&gt;0,AU73,AK73))</f>
        <v>703.02626403361</v>
      </c>
      <c r="P73" s="12" t="n">
        <f aca="false">IF(ISBLANK(D73),"",IF(F73&gt;0,AU73*G73,AL73))</f>
        <v>2109.07879210083</v>
      </c>
      <c r="Q73" s="84" t="n">
        <v>0.65</v>
      </c>
      <c r="R73" s="12" t="n">
        <f aca="false">IF(ISBLANK(D73),"",AT73*Q73)</f>
        <v>737.5875</v>
      </c>
      <c r="S73" s="13" t="n">
        <f aca="false">IF(ISBLANK(D73),"",AJ73)</f>
        <v>0.924348194846803</v>
      </c>
      <c r="T73" s="85" t="str">
        <f aca="false">IF(ISBLANK(F73),"",ROUND(S73*10*G73,0)/10/G73)</f>
        <v/>
      </c>
      <c r="U73" s="86" t="str">
        <f aca="false">IF(F73&gt;0,(AJ73-E73)/2,"")</f>
        <v/>
      </c>
      <c r="V73" s="86" t="str">
        <f aca="false">IF(F73&gt;0,AN73,"")</f>
        <v/>
      </c>
      <c r="W73" s="87" t="str">
        <f aca="false">IF(F73&gt;0,IF(U73&lt;Paramètres!$B$5,"!!!",""),"")</f>
        <v/>
      </c>
      <c r="X73" s="88" t="str">
        <f aca="false">IF(U73&lt;&gt;"",IF(U73/3&gt;=Paramètres!$B$5,(S73-E73)/2/3,""),"")</f>
        <v/>
      </c>
      <c r="Y73" s="88" t="str">
        <f aca="false">IF(U73&lt;&gt;"",IF(U73/3&gt;=Paramètres!$B$5,AV73,""),"")</f>
        <v/>
      </c>
      <c r="Z73" s="88" t="str">
        <f aca="false">IF(X73&lt;&gt;"",Y73*2,"")</f>
        <v/>
      </c>
      <c r="AB73" s="1"/>
      <c r="AC73" s="79" t="str">
        <f aca="false">INDEX('Charge de rupture par diamètre'!$C$1:$AC$1,AR73)</f>
        <v>Stephen Paulello France</v>
      </c>
      <c r="AD73" s="13" t="n">
        <f aca="false">IF(ISBLANK(D73),"-",$A$4/16 * 2^((C73-1)/12))</f>
        <v>880</v>
      </c>
      <c r="AE73" s="13" t="n">
        <f aca="false">AG73/(AG$9*SQRT(1+$L73*AG$9^2))</f>
        <v>879.867350990215</v>
      </c>
      <c r="AF73" s="13" t="n">
        <f aca="false">$AE73*AF$9*SQRT(1+$L73*AF$9^2)</f>
        <v>1766.80545794793</v>
      </c>
      <c r="AG73" s="13" t="n">
        <f aca="false">AF61</f>
        <v>880.752525908138</v>
      </c>
      <c r="AH73" s="19" t="n">
        <f aca="false">IF(AND(C73&gt;12,F61="",AD73&gt;$A$4),AH61*2*(1+N61),IF(AD73&gt;=$A$4/2,AD73,AD73))</f>
        <v>880.753277290322</v>
      </c>
      <c r="AI73" s="19" t="n">
        <f aca="false">IF(AND(C73&gt;12,F61="",AD73&gt;$A$4),AH61*2*(1+N61),IF(AD73&gt;=$A$4/2,AD73,AH85/2/(1+N73)))</f>
        <v>880.753277290322</v>
      </c>
      <c r="AJ73" s="85" t="n">
        <f aca="false">IF(Q73&gt;0,((R73*10^12/PI()/A73^2/D73^2-Paramètres!$B$7*E73^2)*4/PI()/Paramètres!$B$8+E73^2)^0.5,"")</f>
        <v>0.924348194846803</v>
      </c>
      <c r="AK73" s="12" t="n">
        <f aca="false">PI()*Paramètres!$B$7*(E73*A73*D73)^2/10^12</f>
        <v>703.02626403361</v>
      </c>
      <c r="AL73" s="12" t="n">
        <f aca="false">AK73*G73</f>
        <v>2109.07879210083</v>
      </c>
      <c r="AM73" s="80" t="n">
        <f aca="false">AK73/AT73</f>
        <v>0.619542863215343</v>
      </c>
      <c r="AN73" s="85" t="n">
        <f aca="false">(-E73+0.1*Paramètres!$B$7/E73/Paramètres!$B$8/PI()*(AW73^2-E73^2)+(E73^2+3.8*Paramètres!$B$7/Paramètres!$B$8/PI()*(AW73^2-E73^2))^0.5)/2</f>
        <v>0.012189957299211</v>
      </c>
      <c r="AO73" s="85" t="n">
        <f aca="false">VLOOKUP(C73,Paramètres!$C$30:$F$37,2,1)</f>
        <v>0.5</v>
      </c>
      <c r="AP73" s="85" t="n">
        <f aca="false">VLOOKUP(C73,Paramètres!$C$30:$F$37,4,1)</f>
        <v>0.75</v>
      </c>
      <c r="AQ73" s="11" t="b">
        <f aca="false">AND(I73&gt;=AO73,I73&lt;=AP73)</f>
        <v>1</v>
      </c>
      <c r="AR73" s="12" t="n">
        <f aca="false">HLOOKUP(H73,'Charge de rupture par diamètre'!$D$16:$AC$17,2,0)</f>
        <v>3</v>
      </c>
      <c r="AS73" s="12" t="n">
        <f aca="false">VLOOKUP(E73,'Charge de rupture par diamètre'!$C$16:$AC$53,AR73,1)</f>
        <v>1513</v>
      </c>
      <c r="AT73" s="12" t="n">
        <f aca="false">AS73*Paramètres!$B$9</f>
        <v>1134.75</v>
      </c>
      <c r="AU73" s="79" t="n">
        <f aca="false">PI()*A73^2*D73^2*(Paramètres!$B$7*E73^2+Paramètres!$B$8*PI()/4*(F73^2-E73^2))/10^12</f>
        <v>72.7952311844616</v>
      </c>
      <c r="AV73" s="13" t="n">
        <f aca="false">0.183*(-E73+(E73^2+4*Paramètres!$B$7/PI()/Paramètres!$B$8*(AW73^2-E73^2))^0.5)</f>
        <v>0.00445571965696496</v>
      </c>
      <c r="AW73" s="85" t="n">
        <f aca="false">(R73/PI()/Paramètres!$B$7)^0.5/A73/D73*10^6</f>
        <v>0.921856895377656</v>
      </c>
      <c r="AX73" s="12" t="e">
        <f aca="false">Q73*VLOOKUP(H73,Paramètres!$B$15:$C$18,2,0)*Paramètres!$B$9</f>
        <v>#N/A</v>
      </c>
      <c r="AY73" s="13" t="e">
        <f aca="false">(AX73/PI()/Paramètres!$B$7)^0.5/A73/D73*10^6</f>
        <v>#N/A</v>
      </c>
      <c r="AZ73" s="12" t="n">
        <f aca="false">(IF(F73&gt;0,(F73*F73 -E73*E73)/Paramètres!$B$7*Paramètres!$B$8,0)+E73*E73)*D73*G73</f>
        <v>517.59</v>
      </c>
      <c r="BA73" s="80" t="n">
        <f aca="false">-1+AZ73/AZ72</f>
        <v>-0.0491071428571427</v>
      </c>
      <c r="BB73" s="80" t="n">
        <f aca="false">IF(F73&gt;0,"",0.234*Paramètres!$B$12*10^9*IF(F73&gt;0,E73,E73)^2/Paramètres!$B$7/A73^2/D73^4*10^6)</f>
        <v>0.0030546142996524</v>
      </c>
      <c r="BC73" s="11" t="n">
        <v>2</v>
      </c>
      <c r="BD73" s="80" t="n">
        <f aca="false">BC73*SQRT(1+L73*BC73^2)-BC73</f>
        <v>0.00803616131401963</v>
      </c>
      <c r="BE73" s="11" t="str">
        <f aca="false">IF(F73&gt;0,PI()^2*Paramètres!$B$12*10^9/8/O73*(E73^4+E73^2*F73^2)*10^-12/D73^2/10^-6,"-")</f>
        <v>-</v>
      </c>
      <c r="BF73" s="11" t="n">
        <f aca="false">IF(ISBLANK(D73),"-",PI()^3*E73^4*Paramètres!$B$12*10^9/64/O73/(D73/1000)^2*10^-12)</f>
        <v>0.00201307657154646</v>
      </c>
      <c r="BG73" s="90" t="n">
        <f aca="false">(Paramètres!$B$12*10^9)^0.5/Paramètres!$B$7/2/D73*1000</f>
        <v>134.399121164105</v>
      </c>
    </row>
    <row r="74" customFormat="false" ht="12.8" hidden="false" customHeight="false" outlineLevel="0" collapsed="false">
      <c r="A74" s="79" t="n">
        <f aca="false">IF(ISBLANK(D74),"-",IF(AND($A$6,$A$4/2&lt;AD74),AG74,AD74))</f>
        <v>933.240526092422</v>
      </c>
      <c r="B74" s="79" t="str">
        <f aca="false">IF(ISBLANK(D74),"",VLOOKUP(MOD(C74-Paramètres!$B$54,12)+1,Paramètres!$B$40:$C$52,2)&amp;" "&amp;(TRUNC((C74-Paramètres!$B$54+120)/12)-10+1))</f>
        <v>La# 4</v>
      </c>
      <c r="C74" s="11" t="n">
        <f aca="false">IF(ISBLANK(D74),"",C73+1)</f>
        <v>62</v>
      </c>
      <c r="D74" s="25" t="n">
        <v>201</v>
      </c>
      <c r="E74" s="6" t="n">
        <v>0.9</v>
      </c>
      <c r="F74" s="6"/>
      <c r="G74" s="25" t="n">
        <v>3</v>
      </c>
      <c r="H74" s="25" t="s">
        <v>73</v>
      </c>
      <c r="I74" s="80" t="n">
        <f aca="false">IF(ISBLANK(D74),"",IF(F74&gt;0,AU74/AT74,AM74))</f>
        <v>0.619417757244268</v>
      </c>
      <c r="J74" s="81" t="str">
        <f aca="false">IF(ISBLANK(D74),"",IF(AQ74,"","]"&amp;AO74&amp;" -- "&amp;AP74&amp;"["))</f>
        <v/>
      </c>
      <c r="K74" s="80" t="n">
        <f aca="false">IF(ISBLANK(D74),"",BA74)</f>
        <v>-0.0563380281690141</v>
      </c>
      <c r="L74" s="82" t="n">
        <f aca="false">IF(ISBLANK(D74),"",IF(F74&gt;0,BF74,BF74))</f>
        <v>0.0022610756533441</v>
      </c>
      <c r="M74" s="80" t="n">
        <f aca="false">IF(ISBLANK(D74),"",IF(F74&gt;0,"-",N74/(2^(1/12)-1)))</f>
        <v>0.0570372853374049</v>
      </c>
      <c r="N74" s="83" t="n">
        <f aca="false">IF(ISBLANK(D74),"",IF(F74&gt;0,"-",1.5*L74))</f>
        <v>0.00339161348001616</v>
      </c>
      <c r="O74" s="12" t="n">
        <f aca="false">IF(ISBLANK(D74),"",IF(F74&gt;0,AU74,AK74))</f>
        <v>702.884300032934</v>
      </c>
      <c r="P74" s="12" t="n">
        <f aca="false">IF(ISBLANK(D74),"",IF(F74&gt;0,AU74*G74,AL74))</f>
        <v>2108.6529000988</v>
      </c>
      <c r="Q74" s="84" t="n">
        <v>0.7</v>
      </c>
      <c r="R74" s="12" t="n">
        <f aca="false">IF(ISBLANK(D74),"",AT74*Q74)</f>
        <v>794.325</v>
      </c>
      <c r="S74" s="13" t="n">
        <f aca="false">IF(ISBLANK(D74),"",AJ74)</f>
        <v>0.963092546329393</v>
      </c>
      <c r="T74" s="85" t="str">
        <f aca="false">IF(ISBLANK(F74),"",ROUND(S74*10*G74,0)/10/G74)</f>
        <v/>
      </c>
      <c r="U74" s="86" t="str">
        <f aca="false">IF(F74&gt;0,(AJ74-E74)/2,"")</f>
        <v/>
      </c>
      <c r="V74" s="86" t="str">
        <f aca="false">IF(F74&gt;0,AN74,"")</f>
        <v/>
      </c>
      <c r="W74" s="87" t="str">
        <f aca="false">IF(F74&gt;0,IF(U74&lt;Paramètres!$B$5,"!!!",""),"")</f>
        <v/>
      </c>
      <c r="X74" s="88" t="str">
        <f aca="false">IF(U74&lt;&gt;"",IF(U74/3&gt;=Paramètres!$B$5,(S74-E74)/2/3,""),"")</f>
        <v/>
      </c>
      <c r="Y74" s="88" t="str">
        <f aca="false">IF(U74&lt;&gt;"",IF(U74/3&gt;=Paramètres!$B$5,AV74,""),"")</f>
        <v/>
      </c>
      <c r="Z74" s="88" t="str">
        <f aca="false">IF(X74&lt;&gt;"",Y74*2,"")</f>
        <v/>
      </c>
      <c r="AB74" s="1"/>
      <c r="AC74" s="79" t="str">
        <f aca="false">INDEX('Charge de rupture par diamètre'!$C$1:$AC$1,AR74)</f>
        <v>Stephen Paulello France</v>
      </c>
      <c r="AD74" s="13" t="n">
        <f aca="false">IF(ISBLANK(D74),"-",$A$4/16 * 2^((C74-1)/12))</f>
        <v>932.32752303618</v>
      </c>
      <c r="AE74" s="13" t="n">
        <f aca="false">AG74/(AG$9*SQRT(1+$L74*AG$9^2))</f>
        <v>932.187248195874</v>
      </c>
      <c r="AF74" s="13" t="n">
        <f aca="false">$AE74*AF$9*SQRT(1+$L74*AF$9^2)</f>
        <v>1872.78650258704</v>
      </c>
      <c r="AG74" s="13" t="n">
        <f aca="false">AF62</f>
        <v>933.240526092422</v>
      </c>
      <c r="AH74" s="19" t="n">
        <f aca="false">IF(AND(C74&gt;12,F62="",AD74&gt;$A$4),AH62*2*(1+N62),IF(AD74&gt;=$A$4/2,AD74,AD74))</f>
        <v>933.474477154319</v>
      </c>
      <c r="AI74" s="19" t="n">
        <f aca="false">IF(AND(C74&gt;12,F62="",AD74&gt;$A$4),AH62*2*(1+N62),IF(AD74&gt;=$A$4/2,AD74,AH86/2/(1+N74)))</f>
        <v>933.474477154319</v>
      </c>
      <c r="AJ74" s="85" t="n">
        <f aca="false">IF(Q74&gt;0,((R74*10^12/PI()/A74^2/D74^2-Paramètres!$B$7*E74^2)*4/PI()/Paramètres!$B$8+E74^2)^0.5,"")</f>
        <v>0.963092546329393</v>
      </c>
      <c r="AK74" s="12" t="n">
        <f aca="false">PI()*Paramètres!$B$7*(E74*A74*D74)^2/10^12</f>
        <v>702.884300032934</v>
      </c>
      <c r="AL74" s="12" t="n">
        <f aca="false">AK74*G74</f>
        <v>2108.6529000988</v>
      </c>
      <c r="AM74" s="80" t="n">
        <f aca="false">AK74/AT74</f>
        <v>0.619417757244268</v>
      </c>
      <c r="AN74" s="85" t="n">
        <f aca="false">(-E74+0.1*Paramètres!$B$7/E74/Paramètres!$B$8/PI()*(AW74^2-E74^2)+(E74^2+3.8*Paramètres!$B$7/Paramètres!$B$8/PI()*(AW74^2-E74^2))^0.5)/2</f>
        <v>0.0316508009495383</v>
      </c>
      <c r="AO74" s="85" t="n">
        <f aca="false">VLOOKUP(C74,Paramètres!$C$30:$F$37,2,1)</f>
        <v>0.55</v>
      </c>
      <c r="AP74" s="85" t="n">
        <f aca="false">VLOOKUP(C74,Paramètres!$C$30:$F$37,4,1)</f>
        <v>0.75</v>
      </c>
      <c r="AQ74" s="11" t="b">
        <f aca="false">AND(I74&gt;=AO74,I74&lt;=AP74)</f>
        <v>1</v>
      </c>
      <c r="AR74" s="12" t="n">
        <f aca="false">HLOOKUP(H74,'Charge de rupture par diamètre'!$D$16:$AC$17,2,0)</f>
        <v>3</v>
      </c>
      <c r="AS74" s="12" t="n">
        <f aca="false">VLOOKUP(E74,'Charge de rupture par diamètre'!$C$16:$AC$53,AR74,1)</f>
        <v>1513</v>
      </c>
      <c r="AT74" s="12" t="n">
        <f aca="false">AS74*Paramètres!$B$9</f>
        <v>1134.75</v>
      </c>
      <c r="AU74" s="79" t="n">
        <f aca="false">PI()*A74^2*D74^2*(Paramètres!$B$7*E74^2+Paramètres!$B$8*PI()/4*(F74^2-E74^2))/10^12</f>
        <v>72.7805314459485</v>
      </c>
      <c r="AV74" s="13" t="n">
        <f aca="false">0.183*(-E74+(E74^2+4*Paramètres!$B$7/PI()/Paramètres!$B$8*(AW74^2-E74^2))^0.5)</f>
        <v>0.0115459359782789</v>
      </c>
      <c r="AW74" s="85" t="n">
        <f aca="false">(R74/PI()/Paramètres!$B$7)^0.5/A74/D74*10^6</f>
        <v>0.956752715974091</v>
      </c>
      <c r="AX74" s="12" t="e">
        <f aca="false">Q74*VLOOKUP(H74,Paramètres!$B$15:$C$18,2,0)*Paramètres!$B$9</f>
        <v>#N/A</v>
      </c>
      <c r="AY74" s="13" t="e">
        <f aca="false">(AX74/PI()/Paramètres!$B$7)^0.5/A74/D74*10^6</f>
        <v>#N/A</v>
      </c>
      <c r="AZ74" s="12" t="n">
        <f aca="false">(IF(F74&gt;0,(F74*F74 -E74*E74)/Paramètres!$B$7*Paramètres!$B$8,0)+E74*E74)*D74*G74</f>
        <v>488.43</v>
      </c>
      <c r="BA74" s="80" t="n">
        <f aca="false">-1+AZ74/AZ73</f>
        <v>-0.0563380281690141</v>
      </c>
      <c r="BB74" s="80" t="n">
        <f aca="false">IF(F74&gt;0,"",0.234*Paramètres!$B$12*10^9*IF(F74&gt;0,E74,E74)^2/Paramètres!$B$7/A74^2/D74^4*10^6)</f>
        <v>0.00343092464584941</v>
      </c>
      <c r="BC74" s="11" t="n">
        <v>2</v>
      </c>
      <c r="BD74" s="80" t="n">
        <f aca="false">BC74*SQRT(1+L74*BC74^2)-BC74</f>
        <v>0.00902394471880452</v>
      </c>
      <c r="BE74" s="11" t="str">
        <f aca="false">IF(F74&gt;0,PI()^2*Paramètres!$B$12*10^9/8/O74*(E74^4+E74^2*F74^2)*10^-12/D74^2/10^-6,"-")</f>
        <v>-</v>
      </c>
      <c r="BF74" s="11" t="n">
        <f aca="false">IF(ISBLANK(D74),"-",PI()^3*E74^4*Paramètres!$B$12*10^9/64/O74/(D74/1000)^2*10^-12)</f>
        <v>0.0022610756533441</v>
      </c>
      <c r="BG74" s="90" t="n">
        <f aca="false">(Paramètres!$B$12*10^9)^0.5/Paramètres!$B$7/2/D74*1000</f>
        <v>142.422949293306</v>
      </c>
    </row>
    <row r="75" customFormat="false" ht="12.8" hidden="false" customHeight="false" outlineLevel="0" collapsed="false">
      <c r="A75" s="79" t="n">
        <f aca="false">IF(ISBLANK(D75),"-",IF(AND($A$6,$A$4/2&lt;AD75),AG75,AD75))</f>
        <v>988.889349236445</v>
      </c>
      <c r="B75" s="79" t="str">
        <f aca="false">IF(ISBLANK(D75),"",VLOOKUP(MOD(C75-Paramètres!$B$54,12)+1,Paramètres!$B$40:$C$52,2)&amp;" "&amp;(TRUNC((C75-Paramètres!$B$54+120)/12)-10+1))</f>
        <v>Si 4</v>
      </c>
      <c r="C75" s="11" t="n">
        <f aca="false">IF(ISBLANK(D75),"",C74+1)</f>
        <v>63</v>
      </c>
      <c r="D75" s="25" t="n">
        <v>191</v>
      </c>
      <c r="E75" s="6" t="n">
        <v>0.9</v>
      </c>
      <c r="F75" s="6"/>
      <c r="G75" s="25" t="n">
        <v>3</v>
      </c>
      <c r="H75" s="25" t="s">
        <v>73</v>
      </c>
      <c r="I75" s="80" t="n">
        <f aca="false">IF(ISBLANK(D75),"",IF(F75&gt;0,AU75/AT75,AM75))</f>
        <v>0.628009900158968</v>
      </c>
      <c r="J75" s="81" t="str">
        <f aca="false">IF(ISBLANK(D75),"",IF(AQ75,"","]"&amp;AO75&amp;" -- "&amp;AP75&amp;"["))</f>
        <v/>
      </c>
      <c r="K75" s="80" t="n">
        <f aca="false">IF(ISBLANK(D75),"",BA75)</f>
        <v>-0.0497512437810945</v>
      </c>
      <c r="L75" s="82" t="n">
        <f aca="false">IF(ISBLANK(D75),"",IF(F75&gt;0,BF75,BF75))</f>
        <v>0.00246977639338194</v>
      </c>
      <c r="M75" s="80" t="n">
        <f aca="false">IF(ISBLANK(D75),"",IF(F75&gt;0,"-",N75/(2^(1/12)-1)))</f>
        <v>0.0623019139853052</v>
      </c>
      <c r="N75" s="83" t="n">
        <f aca="false">IF(ISBLANK(D75),"",IF(F75&gt;0,"-",1.5*L75))</f>
        <v>0.00370466459007291</v>
      </c>
      <c r="O75" s="12" t="n">
        <f aca="false">IF(ISBLANK(D75),"",IF(F75&gt;0,AU75,AK75))</f>
        <v>712.634234205389</v>
      </c>
      <c r="P75" s="12" t="n">
        <f aca="false">IF(ISBLANK(D75),"",IF(F75&gt;0,AU75*G75,AL75))</f>
        <v>2137.90270261617</v>
      </c>
      <c r="Q75" s="84" t="n">
        <v>0.7</v>
      </c>
      <c r="R75" s="12" t="n">
        <f aca="false">IF(ISBLANK(D75),"",AT75*Q75)</f>
        <v>794.325</v>
      </c>
      <c r="S75" s="13" t="n">
        <f aca="false">IF(ISBLANK(D75),"",AJ75)</f>
        <v>0.955812187905782</v>
      </c>
      <c r="T75" s="85" t="str">
        <f aca="false">IF(ISBLANK(F75),"",ROUND(S75*10*G75,0)/10/G75)</f>
        <v/>
      </c>
      <c r="U75" s="86" t="str">
        <f aca="false">IF(F75&gt;0,(AJ75-E75)/2,"")</f>
        <v/>
      </c>
      <c r="V75" s="86" t="str">
        <f aca="false">IF(F75&gt;0,AN75,"")</f>
        <v/>
      </c>
      <c r="W75" s="87" t="str">
        <f aca="false">IF(F75&gt;0,IF(U75&lt;Paramètres!$B$5,"!!!",""),"")</f>
        <v/>
      </c>
      <c r="X75" s="88" t="str">
        <f aca="false">IF(U75&lt;&gt;"",IF(U75/3&gt;=Paramètres!$B$5,(S75-E75)/2/3,""),"")</f>
        <v/>
      </c>
      <c r="Y75" s="88" t="str">
        <f aca="false">IF(U75&lt;&gt;"",IF(U75/3&gt;=Paramètres!$B$5,AV75,""),"")</f>
        <v/>
      </c>
      <c r="Z75" s="88" t="str">
        <f aca="false">IF(X75&lt;&gt;"",Y75*2,"")</f>
        <v/>
      </c>
      <c r="AB75" s="1"/>
      <c r="AC75" s="79" t="str">
        <f aca="false">INDEX('Charge de rupture par diamètre'!$C$1:$AC$1,AR75)</f>
        <v>Stephen Paulello France</v>
      </c>
      <c r="AD75" s="13" t="n">
        <f aca="false">IF(ISBLANK(D75),"-",$A$4/16 * 2^((C75-1)/12))</f>
        <v>987.766602512249</v>
      </c>
      <c r="AE75" s="13" t="n">
        <f aca="false">AG75/(AG$9*SQRT(1+$L75*AG$9^2))</f>
        <v>987.670438814258</v>
      </c>
      <c r="AF75" s="13" t="n">
        <f aca="false">$AE75*AF$9*SQRT(1+$L75*AF$9^2)</f>
        <v>1985.07419812003</v>
      </c>
      <c r="AG75" s="13" t="n">
        <f aca="false">AF63</f>
        <v>988.889349236445</v>
      </c>
      <c r="AH75" s="19" t="n">
        <f aca="false">IF(AND(C75&gt;12,F63="",AD75&gt;$A$4),AH63*2*(1+N63),IF(AD75&gt;=$A$4/2,AD75,AD75))</f>
        <v>989.115090308253</v>
      </c>
      <c r="AI75" s="19" t="n">
        <f aca="false">IF(AND(C75&gt;12,F63="",AD75&gt;$A$4),AH63*2*(1+N63),IF(AD75&gt;=$A$4/2,AD75,AH87/2/(1+N75)))</f>
        <v>989.115090308253</v>
      </c>
      <c r="AJ75" s="85" t="n">
        <f aca="false">IF(Q75&gt;0,((R75*10^12/PI()/A75^2/D75^2-Paramètres!$B$7*E75^2)*4/PI()/Paramètres!$B$8+E75^2)^0.5,"")</f>
        <v>0.955812187905782</v>
      </c>
      <c r="AK75" s="12" t="n">
        <f aca="false">PI()*Paramètres!$B$7*(E75*A75*D75)^2/10^12</f>
        <v>712.634234205389</v>
      </c>
      <c r="AL75" s="12" t="n">
        <f aca="false">AK75*G75</f>
        <v>2137.90270261617</v>
      </c>
      <c r="AM75" s="80" t="n">
        <f aca="false">AK75/AT75</f>
        <v>0.628009900158968</v>
      </c>
      <c r="AN75" s="85" t="n">
        <f aca="false">(-E75+0.1*Paramètres!$B$7/E75/Paramètres!$B$8/PI()*(AW75^2-E75^2)+(E75^2+3.8*Paramètres!$B$7/Paramètres!$B$8/PI()*(AW75^2-E75^2))^0.5)/2</f>
        <v>0.0279881703172079</v>
      </c>
      <c r="AO75" s="85" t="n">
        <f aca="false">VLOOKUP(C75,Paramètres!$C$30:$F$37,2,1)</f>
        <v>0.55</v>
      </c>
      <c r="AP75" s="85" t="n">
        <f aca="false">VLOOKUP(C75,Paramètres!$C$30:$F$37,4,1)</f>
        <v>0.75</v>
      </c>
      <c r="AQ75" s="11" t="b">
        <f aca="false">AND(I75&gt;=AO75,I75&lt;=AP75)</f>
        <v>1</v>
      </c>
      <c r="AR75" s="12" t="n">
        <f aca="false">HLOOKUP(H75,'Charge de rupture par diamètre'!$D$16:$AC$17,2,0)</f>
        <v>3</v>
      </c>
      <c r="AS75" s="12" t="n">
        <f aca="false">VLOOKUP(E75,'Charge de rupture par diamètre'!$C$16:$AC$53,AR75,1)</f>
        <v>1513</v>
      </c>
      <c r="AT75" s="12" t="n">
        <f aca="false">AS75*Paramètres!$B$9</f>
        <v>1134.75</v>
      </c>
      <c r="AU75" s="79" t="n">
        <f aca="false">PI()*A75^2*D75^2*(Paramètres!$B$7*E75^2+Paramètres!$B$8*PI()/4*(F75^2-E75^2))/10^12</f>
        <v>73.7900936037618</v>
      </c>
      <c r="AV75" s="13" t="n">
        <f aca="false">0.183*(-E75+(E75^2+4*Paramètres!$B$7/PI()/Paramètres!$B$8*(AW75^2-E75^2))^0.5)</f>
        <v>0.0102136303867581</v>
      </c>
      <c r="AW75" s="85" t="n">
        <f aca="false">(R75/PI()/Paramètres!$B$7)^0.5/A75/D75*10^6</f>
        <v>0.950185249807411</v>
      </c>
      <c r="AX75" s="12" t="e">
        <f aca="false">Q75*VLOOKUP(H75,Paramètres!$B$15:$C$18,2,0)*Paramètres!$B$9</f>
        <v>#N/A</v>
      </c>
      <c r="AY75" s="13" t="e">
        <f aca="false">(AX75/PI()/Paramètres!$B$7)^0.5/A75/D75*10^6</f>
        <v>#N/A</v>
      </c>
      <c r="AZ75" s="12" t="n">
        <f aca="false">(IF(F75&gt;0,(F75*F75 -E75*E75)/Paramètres!$B$7*Paramètres!$B$8,0)+E75*E75)*D75*G75</f>
        <v>464.13</v>
      </c>
      <c r="BA75" s="80" t="n">
        <f aca="false">-1+AZ75/AZ74</f>
        <v>-0.0497512437810945</v>
      </c>
      <c r="BB75" s="80" t="n">
        <f aca="false">IF(F75&gt;0,"",0.234*Paramètres!$B$12*10^9*IF(F75&gt;0,E75,E75)^2/Paramètres!$B$7/A75^2/D75^4*10^6)</f>
        <v>0.0037476042366202</v>
      </c>
      <c r="BC75" s="11" t="n">
        <v>2</v>
      </c>
      <c r="BD75" s="80" t="n">
        <f aca="false">BC75*SQRT(1+L75*BC75^2)-BC75</f>
        <v>0.00985482617379851</v>
      </c>
      <c r="BE75" s="11" t="str">
        <f aca="false">IF(F75&gt;0,PI()^2*Paramètres!$B$12*10^9/8/O75*(E75^4+E75^2*F75^2)*10^-12/D75^2/10^-6,"-")</f>
        <v>-</v>
      </c>
      <c r="BF75" s="11" t="n">
        <f aca="false">IF(ISBLANK(D75),"-",PI()^3*E75^4*Paramètres!$B$12*10^9/64/O75/(D75/1000)^2*10^-12)</f>
        <v>0.00246977639338194</v>
      </c>
      <c r="BG75" s="90" t="n">
        <f aca="false">(Paramètres!$B$12*10^9)^0.5/Paramètres!$B$7/2/D75*1000</f>
        <v>149.879648209186</v>
      </c>
    </row>
    <row r="76" customFormat="false" ht="12.8" hidden="false" customHeight="false" outlineLevel="0" collapsed="false">
      <c r="A76" s="79" t="n">
        <f aca="false">IF(ISBLANK(D76),"-",IF(AND($A$6,$A$4/2&lt;AD76),AG76,AD76))</f>
        <v>1047.85689571939</v>
      </c>
      <c r="B76" s="79" t="str">
        <f aca="false">IF(ISBLANK(D76),"",VLOOKUP(MOD(C76-Paramètres!$B$54,12)+1,Paramètres!$B$40:$C$52,2)&amp;" "&amp;(TRUNC((C76-Paramètres!$B$54+120)/12)-10+1))</f>
        <v>Do 5</v>
      </c>
      <c r="C76" s="11" t="n">
        <f aca="false">IF(ISBLANK(D76),"",C75+1)</f>
        <v>64</v>
      </c>
      <c r="D76" s="25" t="n">
        <v>182</v>
      </c>
      <c r="E76" s="6" t="n">
        <v>0.9</v>
      </c>
      <c r="F76" s="6"/>
      <c r="G76" s="25" t="n">
        <v>3</v>
      </c>
      <c r="H76" s="25" t="s">
        <v>73</v>
      </c>
      <c r="I76" s="80" t="n">
        <f aca="false">IF(ISBLANK(D76),"",IF(F76&gt;0,AU76/AT76,AM76))</f>
        <v>0.640252207229461</v>
      </c>
      <c r="J76" s="81" t="str">
        <f aca="false">IF(ISBLANK(D76),"",IF(AQ76,"","]"&amp;AO76&amp;" -- "&amp;AP76&amp;"["))</f>
        <v/>
      </c>
      <c r="K76" s="80" t="n">
        <f aca="false">IF(ISBLANK(D76),"",BA76)</f>
        <v>-0.0471204188481674</v>
      </c>
      <c r="L76" s="82" t="n">
        <f aca="false">IF(ISBLANK(D76),"",IF(F76&gt;0,BF76,BF76))</f>
        <v>0.00266806864809155</v>
      </c>
      <c r="M76" s="80" t="n">
        <f aca="false">IF(ISBLANK(D76),"",IF(F76&gt;0,"-",N76/(2^(1/12)-1)))</f>
        <v>0.0673039809861781</v>
      </c>
      <c r="N76" s="83" t="n">
        <f aca="false">IF(ISBLANK(D76),"",IF(F76&gt;0,"-",1.5*L76))</f>
        <v>0.00400210297213733</v>
      </c>
      <c r="O76" s="12" t="n">
        <f aca="false">IF(ISBLANK(D76),"",IF(F76&gt;0,AU76,AK76))</f>
        <v>726.52619215363</v>
      </c>
      <c r="P76" s="12" t="n">
        <f aca="false">IF(ISBLANK(D76),"",IF(F76&gt;0,AU76*G76,AL76))</f>
        <v>2179.57857646089</v>
      </c>
      <c r="Q76" s="84" t="n">
        <v>0.7</v>
      </c>
      <c r="R76" s="12" t="n">
        <f aca="false">IF(ISBLANK(D76),"",AT76*Q76)</f>
        <v>794.325</v>
      </c>
      <c r="S76" s="13" t="n">
        <f aca="false">IF(ISBLANK(D76),"",AJ76)</f>
        <v>0.945684625763</v>
      </c>
      <c r="T76" s="85" t="str">
        <f aca="false">IF(ISBLANK(F76),"",ROUND(S76*10*G76,0)/10/G76)</f>
        <v/>
      </c>
      <c r="U76" s="86" t="str">
        <f aca="false">IF(F76&gt;0,(AJ76-E76)/2,"")</f>
        <v/>
      </c>
      <c r="V76" s="86" t="str">
        <f aca="false">IF(F76&gt;0,AN76,"")</f>
        <v/>
      </c>
      <c r="W76" s="87" t="str">
        <f aca="false">IF(F76&gt;0,IF(U76&lt;Paramètres!$B$5,"!!!",""),"")</f>
        <v/>
      </c>
      <c r="X76" s="88" t="str">
        <f aca="false">IF(U76&lt;&gt;"",IF(U76/3&gt;=Paramètres!$B$5,(S76-E76)/2/3,""),"")</f>
        <v/>
      </c>
      <c r="Y76" s="88" t="str">
        <f aca="false">IF(U76&lt;&gt;"",IF(U76/3&gt;=Paramètres!$B$5,AV76,""),"")</f>
        <v/>
      </c>
      <c r="Z76" s="88" t="str">
        <f aca="false">IF(X76&lt;&gt;"",Y76*2,"")</f>
        <v/>
      </c>
      <c r="AB76" s="1"/>
      <c r="AC76" s="79" t="str">
        <f aca="false">INDEX('Charge de rupture par diamètre'!$C$1:$AC$1,AR76)</f>
        <v>Stephen Paulello France</v>
      </c>
      <c r="AD76" s="13" t="n">
        <f aca="false">IF(ISBLANK(D76),"-",$A$4/16 * 2^((C76-1)/12))</f>
        <v>1046.50226120239</v>
      </c>
      <c r="AE76" s="13" t="n">
        <f aca="false">AG76/(AG$9*SQRT(1+$L76*AG$9^2))</f>
        <v>1046.46180967296</v>
      </c>
      <c r="AF76" s="13" t="n">
        <f aca="false">$AE76*AF$9*SQRT(1+$L76*AF$9^2)</f>
        <v>2104.06210774751</v>
      </c>
      <c r="AG76" s="13" t="n">
        <f aca="false">AF64</f>
        <v>1047.85689571939</v>
      </c>
      <c r="AH76" s="19" t="n">
        <f aca="false">IF(AND(C76&gt;12,F64="",AD76&gt;$A$4),AH64*2*(1+N64),IF(AD76&gt;=$A$4/2,AD76,AD76))</f>
        <v>1048.07265753084</v>
      </c>
      <c r="AI76" s="19" t="n">
        <f aca="false">IF(AND(C76&gt;12,F64="",AD76&gt;$A$4),AH64*2*(1+N64),IF(AD76&gt;=$A$4/2,AD76,AH88/2/(1+N76)))</f>
        <v>1048.07265753084</v>
      </c>
      <c r="AJ76" s="85" t="n">
        <f aca="false">IF(Q76&gt;0,((R76*10^12/PI()/A76^2/D76^2-Paramètres!$B$7*E76^2)*4/PI()/Paramètres!$B$8+E76^2)^0.5,"")</f>
        <v>0.945684625763</v>
      </c>
      <c r="AK76" s="12" t="n">
        <f aca="false">PI()*Paramètres!$B$7*(E76*A76*D76)^2/10^12</f>
        <v>726.52619215363</v>
      </c>
      <c r="AL76" s="12" t="n">
        <f aca="false">AK76*G76</f>
        <v>2179.57857646089</v>
      </c>
      <c r="AM76" s="80" t="n">
        <f aca="false">AK76/AT76</f>
        <v>0.640252207229461</v>
      </c>
      <c r="AN76" s="85" t="n">
        <f aca="false">(-E76+0.1*Paramètres!$B$7/E76/Paramètres!$B$8/PI()*(AW76^2-E76^2)+(E76^2+3.8*Paramètres!$B$7/Paramètres!$B$8/PI()*(AW76^2-E76^2))^0.5)/2</f>
        <v>0.0228975705088233</v>
      </c>
      <c r="AO76" s="85" t="n">
        <f aca="false">VLOOKUP(C76,Paramètres!$C$30:$F$37,2,1)</f>
        <v>0.55</v>
      </c>
      <c r="AP76" s="85" t="n">
        <f aca="false">VLOOKUP(C76,Paramètres!$C$30:$F$37,4,1)</f>
        <v>0.75</v>
      </c>
      <c r="AQ76" s="11" t="b">
        <f aca="false">AND(I76&gt;=AO76,I76&lt;=AP76)</f>
        <v>1</v>
      </c>
      <c r="AR76" s="12" t="n">
        <f aca="false">HLOOKUP(H76,'Charge de rupture par diamètre'!$D$16:$AC$17,2,0)</f>
        <v>3</v>
      </c>
      <c r="AS76" s="12" t="n">
        <f aca="false">VLOOKUP(E76,'Charge de rupture par diamètre'!$C$16:$AC$53,AR76,1)</f>
        <v>1513</v>
      </c>
      <c r="AT76" s="12" t="n">
        <f aca="false">AS76*Paramètres!$B$9</f>
        <v>1134.75</v>
      </c>
      <c r="AU76" s="79" t="n">
        <f aca="false">PI()*A76^2*D76^2*(Paramètres!$B$7*E76^2+Paramètres!$B$8*PI()/4*(F76^2-E76^2))/10^12</f>
        <v>75.2285438326976</v>
      </c>
      <c r="AV76" s="13" t="n">
        <f aca="false">0.183*(-E76+(E76^2+4*Paramètres!$B$7/PI()/Paramètres!$B$8*(AW76^2-E76^2))^0.5)</f>
        <v>0.00836028651462901</v>
      </c>
      <c r="AW76" s="85" t="n">
        <f aca="false">(R76/PI()/Paramètres!$B$7)^0.5/A76/D76*10^6</f>
        <v>0.941057125138028</v>
      </c>
      <c r="AX76" s="12" t="e">
        <f aca="false">Q76*VLOOKUP(H76,Paramètres!$B$15:$C$18,2,0)*Paramètres!$B$9</f>
        <v>#N/A</v>
      </c>
      <c r="AY76" s="13" t="e">
        <f aca="false">(AX76/PI()/Paramètres!$B$7)^0.5/A76/D76*10^6</f>
        <v>#N/A</v>
      </c>
      <c r="AZ76" s="12" t="n">
        <f aca="false">(IF(F76&gt;0,(F76*F76 -E76*E76)/Paramètres!$B$7*Paramètres!$B$8,0)+E76*E76)*D76*G76</f>
        <v>442.26</v>
      </c>
      <c r="BA76" s="80" t="n">
        <f aca="false">-1+AZ76/AZ75</f>
        <v>-0.0471204188481674</v>
      </c>
      <c r="BB76" s="80" t="n">
        <f aca="false">IF(F76&gt;0,"",0.234*Paramètres!$B$12*10^9*IF(F76&gt;0,E76,E76)^2/Paramètres!$B$7/A76^2/D76^4*10^6)</f>
        <v>0.00404849013699159</v>
      </c>
      <c r="BC76" s="11" t="n">
        <v>2</v>
      </c>
      <c r="BD76" s="80" t="n">
        <f aca="false">BC76*SQRT(1+L76*BC76^2)-BC76</f>
        <v>0.0106439511682481</v>
      </c>
      <c r="BE76" s="11" t="str">
        <f aca="false">IF(F76&gt;0,PI()^2*Paramètres!$B$12*10^9/8/O76*(E76^4+E76^2*F76^2)*10^-12/D76^2/10^-6,"-")</f>
        <v>-</v>
      </c>
      <c r="BF76" s="11" t="n">
        <f aca="false">IF(ISBLANK(D76),"-",PI()^3*E76^4*Paramètres!$B$12*10^9/64/O76/(D76/1000)^2*10^-12)</f>
        <v>0.00266806864809155</v>
      </c>
      <c r="BG76" s="90" t="n">
        <f aca="false">(Paramètres!$B$12*10^9)^0.5/Paramètres!$B$7/2/D76*1000</f>
        <v>157.291279164585</v>
      </c>
    </row>
    <row r="77" customFormat="false" ht="12.8" hidden="false" customHeight="false" outlineLevel="0" collapsed="false">
      <c r="A77" s="79" t="n">
        <f aca="false">IF(ISBLANK(D77),"-",IF(AND($A$6,$A$4/2&lt;AD77),AG77,AD77))</f>
        <v>1110.36933545466</v>
      </c>
      <c r="B77" s="79" t="str">
        <f aca="false">IF(ISBLANK(D77),"",VLOOKUP(MOD(C77-Paramètres!$B$54,12)+1,Paramètres!$B$40:$C$52,2)&amp;" "&amp;(TRUNC((C77-Paramètres!$B$54+120)/12)-10+1))</f>
        <v>Do# 5</v>
      </c>
      <c r="C77" s="11" t="n">
        <f aca="false">IF(ISBLANK(D77),"",C76+1)</f>
        <v>65</v>
      </c>
      <c r="D77" s="25" t="n">
        <v>173</v>
      </c>
      <c r="E77" s="6" t="n">
        <v>0.9</v>
      </c>
      <c r="F77" s="6"/>
      <c r="G77" s="25" t="n">
        <v>3</v>
      </c>
      <c r="H77" s="25" t="s">
        <v>73</v>
      </c>
      <c r="I77" s="80" t="n">
        <f aca="false">IF(ISBLANK(D77),"",IF(F77&gt;0,AU77/AT77,AM77))</f>
        <v>0.649578261102165</v>
      </c>
      <c r="J77" s="81" t="str">
        <f aca="false">IF(ISBLANK(D77),"",IF(AQ77,"","]"&amp;AO77&amp;" -- "&amp;AP77&amp;"["))</f>
        <v/>
      </c>
      <c r="K77" s="80" t="n">
        <f aca="false">IF(ISBLANK(D77),"",BA77)</f>
        <v>-0.0494505494505496</v>
      </c>
      <c r="L77" s="82" t="n">
        <f aca="false">IF(ISBLANK(D77),"",IF(F77&gt;0,BF77,BF77))</f>
        <v>0.00291049710291197</v>
      </c>
      <c r="M77" s="80" t="n">
        <f aca="false">IF(ISBLANK(D77),"",IF(F77&gt;0,"-",N77/(2^(1/12)-1)))</f>
        <v>0.0734194158815333</v>
      </c>
      <c r="N77" s="83" t="n">
        <f aca="false">IF(ISBLANK(D77),"",IF(F77&gt;0,"-",1.5*L77))</f>
        <v>0.00436574565436796</v>
      </c>
      <c r="O77" s="12" t="n">
        <f aca="false">IF(ISBLANK(D77),"",IF(F77&gt;0,AU77,AK77))</f>
        <v>737.108931785682</v>
      </c>
      <c r="P77" s="12" t="n">
        <f aca="false">IF(ISBLANK(D77),"",IF(F77&gt;0,AU77*G77,AL77))</f>
        <v>2211.32679535705</v>
      </c>
      <c r="Q77" s="84" t="n">
        <v>0.7</v>
      </c>
      <c r="R77" s="12" t="n">
        <f aca="false">IF(ISBLANK(D77),"",AT77*Q77)</f>
        <v>794.325</v>
      </c>
      <c r="S77" s="13" t="n">
        <f aca="false">IF(ISBLANK(D77),"",AJ77)</f>
        <v>0.938155820555528</v>
      </c>
      <c r="T77" s="85" t="str">
        <f aca="false">IF(ISBLANK(F77),"",ROUND(S77*10*G77,0)/10/G77)</f>
        <v/>
      </c>
      <c r="U77" s="86" t="str">
        <f aca="false">IF(F77&gt;0,(AJ77-E77)/2,"")</f>
        <v/>
      </c>
      <c r="V77" s="86" t="str">
        <f aca="false">IF(F77&gt;0,AN77,"")</f>
        <v/>
      </c>
      <c r="W77" s="87" t="str">
        <f aca="false">IF(F77&gt;0,IF(U77&lt;Paramètres!$B$5,"!!!",""),"")</f>
        <v/>
      </c>
      <c r="X77" s="88" t="str">
        <f aca="false">IF(U77&lt;&gt;"",IF(U77/3&gt;=Paramètres!$B$5,(S77-E77)/2/3,""),"")</f>
        <v/>
      </c>
      <c r="Y77" s="88" t="str">
        <f aca="false">IF(U77&lt;&gt;"",IF(U77/3&gt;=Paramètres!$B$5,AV77,""),"")</f>
        <v/>
      </c>
      <c r="Z77" s="88" t="str">
        <f aca="false">IF(X77&lt;&gt;"",Y77*2,"")</f>
        <v/>
      </c>
      <c r="AB77" s="1"/>
      <c r="AC77" s="79" t="str">
        <f aca="false">INDEX('Charge de rupture par diamètre'!$C$1:$AC$1,AR77)</f>
        <v>Stephen Paulello France</v>
      </c>
      <c r="AD77" s="13" t="n">
        <f aca="false">IF(ISBLANK(D77),"-",$A$4/16 * 2^((C77-1)/12))</f>
        <v>1108.73052390749</v>
      </c>
      <c r="AE77" s="13" t="n">
        <f aca="false">AG77/(AG$9*SQRT(1+$L77*AG$9^2))</f>
        <v>1108.75699077864</v>
      </c>
      <c r="AF77" s="13" t="n">
        <f aca="false">$AE77*AF$9*SQRT(1+$L77*AF$9^2)</f>
        <v>2230.38476561381</v>
      </c>
      <c r="AG77" s="13" t="n">
        <f aca="false">AF65</f>
        <v>1110.36933545466</v>
      </c>
      <c r="AH77" s="19" t="n">
        <f aca="false">IF(AND(C77&gt;12,F65="",AD77&gt;$A$4),AH65*2*(1+N65),IF(AD77&gt;=$A$4/2,AD77,AD77))</f>
        <v>1110.57330869709</v>
      </c>
      <c r="AI77" s="19" t="n">
        <f aca="false">IF(AND(C77&gt;12,F65="",AD77&gt;$A$4),AH65*2*(1+N65),IF(AD77&gt;=$A$4/2,AD77,AH89/2/(1+N77)))</f>
        <v>1110.57330869709</v>
      </c>
      <c r="AJ77" s="85" t="n">
        <f aca="false">IF(Q77&gt;0,((R77*10^12/PI()/A77^2/D77^2-Paramètres!$B$7*E77^2)*4/PI()/Paramètres!$B$8+E77^2)^0.5,"")</f>
        <v>0.938155820555528</v>
      </c>
      <c r="AK77" s="12" t="n">
        <f aca="false">PI()*Paramètres!$B$7*(E77*A77*D77)^2/10^12</f>
        <v>737.108931785682</v>
      </c>
      <c r="AL77" s="12" t="n">
        <f aca="false">AK77*G77</f>
        <v>2211.32679535705</v>
      </c>
      <c r="AM77" s="80" t="n">
        <f aca="false">AK77/AT77</f>
        <v>0.649578261102165</v>
      </c>
      <c r="AN77" s="85" t="n">
        <f aca="false">(-E77+0.1*Paramètres!$B$7/E77/Paramètres!$B$8/PI()*(AW77^2-E77^2)+(E77^2+3.8*Paramètres!$B$7/Paramètres!$B$8/PI()*(AW77^2-E77^2))^0.5)/2</f>
        <v>0.0191165959207414</v>
      </c>
      <c r="AO77" s="85" t="n">
        <f aca="false">VLOOKUP(C77,Paramètres!$C$30:$F$37,2,1)</f>
        <v>0.55</v>
      </c>
      <c r="AP77" s="85" t="n">
        <f aca="false">VLOOKUP(C77,Paramètres!$C$30:$F$37,4,1)</f>
        <v>0.75</v>
      </c>
      <c r="AQ77" s="11" t="b">
        <f aca="false">AND(I77&gt;=AO77,I77&lt;=AP77)</f>
        <v>1</v>
      </c>
      <c r="AR77" s="12" t="n">
        <f aca="false">HLOOKUP(H77,'Charge de rupture par diamètre'!$D$16:$AC$17,2,0)</f>
        <v>3</v>
      </c>
      <c r="AS77" s="12" t="n">
        <f aca="false">VLOOKUP(E77,'Charge de rupture par diamètre'!$C$16:$AC$53,AR77,1)</f>
        <v>1513</v>
      </c>
      <c r="AT77" s="12" t="n">
        <f aca="false">AS77*Paramètres!$B$9</f>
        <v>1134.75</v>
      </c>
      <c r="AU77" s="79" t="n">
        <f aca="false">PI()*A77^2*D77^2*(Paramètres!$B$7*E77^2+Paramètres!$B$8*PI()/4*(F77^2-E77^2))/10^12</f>
        <v>76.3243392780345</v>
      </c>
      <c r="AV77" s="13" t="n">
        <f aca="false">0.183*(-E77+(E77^2+4*Paramètres!$B$7/PI()/Paramètres!$B$8*(AW77^2-E77^2))^0.5)</f>
        <v>0.00698251516166151</v>
      </c>
      <c r="AW77" s="85" t="n">
        <f aca="false">(R77/PI()/Paramètres!$B$7)^0.5/A77/D77*10^6</f>
        <v>0.934277281304306</v>
      </c>
      <c r="AX77" s="12" t="e">
        <f aca="false">Q77*VLOOKUP(H77,Paramètres!$B$15:$C$18,2,0)*Paramètres!$B$9</f>
        <v>#N/A</v>
      </c>
      <c r="AY77" s="13" t="e">
        <f aca="false">(AX77/PI()/Paramètres!$B$7)^0.5/A77/D77*10^6</f>
        <v>#N/A</v>
      </c>
      <c r="AZ77" s="12" t="n">
        <f aca="false">(IF(F77&gt;0,(F77*F77 -E77*E77)/Paramètres!$B$7*Paramètres!$B$8,0)+E77*E77)*D77*G77</f>
        <v>420.39</v>
      </c>
      <c r="BA77" s="80" t="n">
        <f aca="false">-1+AZ77/AZ76</f>
        <v>-0.0494505494505496</v>
      </c>
      <c r="BB77" s="80" t="n">
        <f aca="false">IF(F77&gt;0,"",0.234*Paramètres!$B$12*10^9*IF(F77&gt;0,E77,E77)^2/Paramètres!$B$7/A77^2/D77^4*10^6)</f>
        <v>0.00441634769154463</v>
      </c>
      <c r="BC77" s="11" t="n">
        <v>2</v>
      </c>
      <c r="BD77" s="80" t="n">
        <f aca="false">BC77*SQRT(1+L77*BC77^2)-BC77</f>
        <v>0.011608300252957</v>
      </c>
      <c r="BE77" s="11" t="str">
        <f aca="false">IF(F77&gt;0,PI()^2*Paramètres!$B$12*10^9/8/O77*(E77^4+E77^2*F77^2)*10^-12/D77^2/10^-6,"-")</f>
        <v>-</v>
      </c>
      <c r="BF77" s="11" t="n">
        <f aca="false">IF(ISBLANK(D77),"-",PI()^3*E77^4*Paramètres!$B$12*10^9/64/O77/(D77/1000)^2*10^-12)</f>
        <v>0.00291049710291197</v>
      </c>
      <c r="BG77" s="90" t="n">
        <f aca="false">(Paramètres!$B$12*10^9)^0.5/Paramètres!$B$7/2/D77*1000</f>
        <v>165.474062473725</v>
      </c>
    </row>
    <row r="78" customFormat="false" ht="12.8" hidden="false" customHeight="false" outlineLevel="0" collapsed="false">
      <c r="A78" s="79" t="n">
        <f aca="false">IF(ISBLANK(D78),"-",IF(AND($A$6,$A$4/2&lt;AD78),AG78,AD78))</f>
        <v>1176.63058110115</v>
      </c>
      <c r="B78" s="79" t="str">
        <f aca="false">IF(ISBLANK(D78),"",VLOOKUP(MOD(C78-Paramètres!$B$54,12)+1,Paramètres!$B$40:$C$52,2)&amp;" "&amp;(TRUNC((C78-Paramètres!$B$54+120)/12)-10+1))</f>
        <v>Ré 5</v>
      </c>
      <c r="C78" s="11" t="n">
        <f aca="false">IF(ISBLANK(D78),"",C77+1)</f>
        <v>66</v>
      </c>
      <c r="D78" s="25" t="n">
        <v>164</v>
      </c>
      <c r="E78" s="6" t="n">
        <v>0.9</v>
      </c>
      <c r="F78" s="6"/>
      <c r="G78" s="25" t="n">
        <v>3</v>
      </c>
      <c r="H78" s="25" t="s">
        <v>73</v>
      </c>
      <c r="I78" s="80" t="n">
        <f aca="false">IF(ISBLANK(D78),"",IF(F78&gt;0,AU78/AT78,AM78))</f>
        <v>0.655499426969331</v>
      </c>
      <c r="J78" s="81" t="str">
        <f aca="false">IF(ISBLANK(D78),"",IF(AQ78,"","]"&amp;AO78&amp;" -- "&amp;AP78&amp;"["))</f>
        <v/>
      </c>
      <c r="K78" s="80" t="n">
        <f aca="false">IF(ISBLANK(D78),"",BA78)</f>
        <v>-0.0520231213872833</v>
      </c>
      <c r="L78" s="82" t="n">
        <f aca="false">IF(ISBLANK(D78),"",IF(F78&gt;0,BF78,BF78))</f>
        <v>0.00320945172349885</v>
      </c>
      <c r="M78" s="80" t="n">
        <f aca="false">IF(ISBLANK(D78),"",IF(F78&gt;0,"-",N78/(2^(1/12)-1)))</f>
        <v>0.0809607646073623</v>
      </c>
      <c r="N78" s="83" t="n">
        <f aca="false">IF(ISBLANK(D78),"",IF(F78&gt;0,"-",1.5*L78))</f>
        <v>0.00481417758524828</v>
      </c>
      <c r="O78" s="12" t="n">
        <f aca="false">IF(ISBLANK(D78),"",IF(F78&gt;0,AU78,AK78))</f>
        <v>743.827974753449</v>
      </c>
      <c r="P78" s="12" t="n">
        <f aca="false">IF(ISBLANK(D78),"",IF(F78&gt;0,AU78*G78,AL78))</f>
        <v>2231.48392426035</v>
      </c>
      <c r="Q78" s="84" t="n">
        <v>0.7</v>
      </c>
      <c r="R78" s="12" t="n">
        <f aca="false">IF(ISBLANK(D78),"",AT78*Q78)</f>
        <v>794.325</v>
      </c>
      <c r="S78" s="13" t="n">
        <f aca="false">IF(ISBLANK(D78),"",AJ78)</f>
        <v>0.933456420953005</v>
      </c>
      <c r="T78" s="85" t="str">
        <f aca="false">IF(ISBLANK(F78),"",ROUND(S78*10*G78,0)/10/G78)</f>
        <v/>
      </c>
      <c r="U78" s="86" t="str">
        <f aca="false">IF(F78&gt;0,(AJ78-E78)/2,"")</f>
        <v/>
      </c>
      <c r="V78" s="86" t="str">
        <f aca="false">IF(F78&gt;0,AN78,"")</f>
        <v/>
      </c>
      <c r="W78" s="87" t="str">
        <f aca="false">IF(F78&gt;0,IF(U78&lt;Paramètres!$B$5,"!!!",""),"")</f>
        <v/>
      </c>
      <c r="X78" s="88" t="str">
        <f aca="false">IF(U78&lt;&gt;"",IF(U78/3&gt;=Paramètres!$B$5,(S78-E78)/2/3,""),"")</f>
        <v/>
      </c>
      <c r="Y78" s="88" t="str">
        <f aca="false">IF(U78&lt;&gt;"",IF(U78/3&gt;=Paramètres!$B$5,AV78,""),"")</f>
        <v/>
      </c>
      <c r="Z78" s="88" t="str">
        <f aca="false">IF(X78&lt;&gt;"",Y78*2,"")</f>
        <v/>
      </c>
      <c r="AB78" s="1"/>
      <c r="AC78" s="79" t="str">
        <f aca="false">INDEX('Charge de rupture par diamètre'!$C$1:$AC$1,AR78)</f>
        <v>Stephen Paulello France</v>
      </c>
      <c r="AD78" s="13" t="n">
        <f aca="false">IF(ISBLANK(D78),"-",$A$4/16 * 2^((C78-1)/12))</f>
        <v>1174.65907166963</v>
      </c>
      <c r="AE78" s="13" t="n">
        <f aca="false">AG78/(AG$9*SQRT(1+$L78*AG$9^2))</f>
        <v>1174.74694444789</v>
      </c>
      <c r="AF78" s="13" t="n">
        <f aca="false">$AE78*AF$9*SQRT(1+$L78*AF$9^2)</f>
        <v>2364.52696923569</v>
      </c>
      <c r="AG78" s="13" t="n">
        <f aca="false">AF66</f>
        <v>1176.63058110115</v>
      </c>
      <c r="AH78" s="19" t="n">
        <f aca="false">IF(AND(C78&gt;12,F66="",AD78&gt;$A$4),AH66*2*(1+N66),IF(AD78&gt;=$A$4/2,AD78,AD78))</f>
        <v>1176.8206508609</v>
      </c>
      <c r="AI78" s="19" t="n">
        <f aca="false">IF(AND(C78&gt;12,F66="",AD78&gt;$A$4),AH66*2*(1+N66),IF(AD78&gt;=$A$4/2,AD78,AH90/2/(1+N78)))</f>
        <v>1176.8206508609</v>
      </c>
      <c r="AJ78" s="85" t="n">
        <f aca="false">IF(Q78&gt;0,((R78*10^12/PI()/A78^2/D78^2-Paramètres!$B$7*E78^2)*4/PI()/Paramètres!$B$8+E78^2)^0.5,"")</f>
        <v>0.933456420953005</v>
      </c>
      <c r="AK78" s="12" t="n">
        <f aca="false">PI()*Paramètres!$B$7*(E78*A78*D78)^2/10^12</f>
        <v>743.827974753449</v>
      </c>
      <c r="AL78" s="12" t="n">
        <f aca="false">AK78*G78</f>
        <v>2231.48392426035</v>
      </c>
      <c r="AM78" s="80" t="n">
        <f aca="false">AK78/AT78</f>
        <v>0.655499426969331</v>
      </c>
      <c r="AN78" s="85" t="n">
        <f aca="false">(-E78+0.1*Paramètres!$B$7/E78/Paramètres!$B$8/PI()*(AW78^2-E78^2)+(E78^2+3.8*Paramètres!$B$7/Paramètres!$B$8/PI()*(AW78^2-E78^2))^0.5)/2</f>
        <v>0.0167580217258549</v>
      </c>
      <c r="AO78" s="85" t="n">
        <f aca="false">VLOOKUP(C78,Paramètres!$C$30:$F$37,2,1)</f>
        <v>0.55</v>
      </c>
      <c r="AP78" s="85" t="n">
        <f aca="false">VLOOKUP(C78,Paramètres!$C$30:$F$37,4,1)</f>
        <v>0.75</v>
      </c>
      <c r="AQ78" s="11" t="b">
        <f aca="false">AND(I78&gt;=AO78,I78&lt;=AP78)</f>
        <v>1</v>
      </c>
      <c r="AR78" s="12" t="n">
        <f aca="false">HLOOKUP(H78,'Charge de rupture par diamètre'!$D$16:$AC$17,2,0)</f>
        <v>3</v>
      </c>
      <c r="AS78" s="12" t="n">
        <f aca="false">VLOOKUP(E78,'Charge de rupture par diamètre'!$C$16:$AC$53,AR78,1)</f>
        <v>1513</v>
      </c>
      <c r="AT78" s="12" t="n">
        <f aca="false">AS78*Paramètres!$B$9</f>
        <v>1134.75</v>
      </c>
      <c r="AU78" s="79" t="n">
        <f aca="false">PI()*A78^2*D78^2*(Paramètres!$B$7*E78^2+Paramètres!$B$8*PI()/4*(F78^2-E78^2))/10^12</f>
        <v>77.0200661821342</v>
      </c>
      <c r="AV78" s="13" t="n">
        <f aca="false">0.183*(-E78+(E78^2+4*Paramètres!$B$7/PI()/Paramètres!$B$8*(AW78^2-E78^2))^0.5)</f>
        <v>0.00612252503439994</v>
      </c>
      <c r="AW78" s="85" t="n">
        <f aca="false">(R78/PI()/Paramètres!$B$7)^0.5/A78/D78*10^6</f>
        <v>0.930048017317523</v>
      </c>
      <c r="AX78" s="12" t="e">
        <f aca="false">Q78*VLOOKUP(H78,Paramètres!$B$15:$C$18,2,0)*Paramètres!$B$9</f>
        <v>#N/A</v>
      </c>
      <c r="AY78" s="13" t="e">
        <f aca="false">(AX78/PI()/Paramètres!$B$7)^0.5/A78/D78*10^6</f>
        <v>#N/A</v>
      </c>
      <c r="AZ78" s="12" t="n">
        <f aca="false">(IF(F78&gt;0,(F78*F78 -E78*E78)/Paramètres!$B$7*Paramètres!$B$8,0)+E78*E78)*D78*G78</f>
        <v>398.52</v>
      </c>
      <c r="BA78" s="80" t="n">
        <f aca="false">-1+AZ78/AZ77</f>
        <v>-0.0520231213872833</v>
      </c>
      <c r="BB78" s="80" t="n">
        <f aca="false">IF(F78&gt;0,"",0.234*Paramètres!$B$12*10^9*IF(F78&gt;0,E78,E78)^2/Paramètres!$B$7/A78^2/D78^4*10^6)</f>
        <v>0.00486997726127844</v>
      </c>
      <c r="BC78" s="11" t="n">
        <v>2</v>
      </c>
      <c r="BD78" s="80" t="n">
        <f aca="false">BC78*SQRT(1+L78*BC78^2)-BC78</f>
        <v>0.0127968669431056</v>
      </c>
      <c r="BE78" s="11" t="str">
        <f aca="false">IF(F78&gt;0,PI()^2*Paramètres!$B$12*10^9/8/O78*(E78^4+E78^2*F78^2)*10^-12/D78^2/10^-6,"-")</f>
        <v>-</v>
      </c>
      <c r="BF78" s="11" t="n">
        <f aca="false">IF(ISBLANK(D78),"-",PI()^3*E78^4*Paramètres!$B$12*10^9/64/O78/(D78/1000)^2*10^-12)</f>
        <v>0.00320945172349885</v>
      </c>
      <c r="BG78" s="90" t="n">
        <f aca="false">(Paramètres!$B$12*10^9)^0.5/Paramètres!$B$7/2/D78*1000</f>
        <v>174.554956146064</v>
      </c>
    </row>
    <row r="79" customFormat="false" ht="12.8" hidden="false" customHeight="false" outlineLevel="0" collapsed="false">
      <c r="A79" s="79" t="n">
        <f aca="false">IF(ISBLANK(D79),"-",IF(AND($A$6,$A$4/2&lt;AD79),AG79,AD79))</f>
        <v>1246.86775207216</v>
      </c>
      <c r="B79" s="79" t="str">
        <f aca="false">IF(ISBLANK(D79),"",VLOOKUP(MOD(C79-Paramètres!$B$54,12)+1,Paramètres!$B$40:$C$52,2)&amp;" "&amp;(TRUNC((C79-Paramètres!$B$54+120)/12)-10+1))</f>
        <v>Ré# 5</v>
      </c>
      <c r="C79" s="11" t="n">
        <f aca="false">IF(ISBLANK(D79),"",C78+1)</f>
        <v>67</v>
      </c>
      <c r="D79" s="25" t="n">
        <v>155</v>
      </c>
      <c r="E79" s="6" t="n">
        <v>0.9</v>
      </c>
      <c r="F79" s="6"/>
      <c r="G79" s="25" t="n">
        <v>3</v>
      </c>
      <c r="H79" s="25" t="s">
        <v>73</v>
      </c>
      <c r="I79" s="80" t="n">
        <f aca="false">IF(ISBLANK(D79),"",IF(F79&gt;0,AU79/AT79,AM79))</f>
        <v>0.657519351290572</v>
      </c>
      <c r="J79" s="81" t="str">
        <f aca="false">IF(ISBLANK(D79),"",IF(AQ79,"","]"&amp;AO79&amp;" -- "&amp;AP79&amp;"["))</f>
        <v/>
      </c>
      <c r="K79" s="80" t="n">
        <f aca="false">IF(ISBLANK(D79),"",BA79)</f>
        <v>-0.0548780487804876</v>
      </c>
      <c r="L79" s="82" t="n">
        <f aca="false">IF(ISBLANK(D79),"",IF(F79&gt;0,BF79,BF79))</f>
        <v>0.00358194509499391</v>
      </c>
      <c r="M79" s="80" t="n">
        <f aca="false">IF(ISBLANK(D79),"",IF(F79&gt;0,"-",N79/(2^(1/12)-1)))</f>
        <v>0.0903571820535601</v>
      </c>
      <c r="N79" s="83" t="n">
        <f aca="false">IF(ISBLANK(D79),"",IF(F79&gt;0,"-",1.5*L79))</f>
        <v>0.00537291764249087</v>
      </c>
      <c r="O79" s="12" t="n">
        <f aca="false">IF(ISBLANK(D79),"",IF(F79&gt;0,AU79,AK79))</f>
        <v>746.120083876977</v>
      </c>
      <c r="P79" s="12" t="n">
        <f aca="false">IF(ISBLANK(D79),"",IF(F79&gt;0,AU79*G79,AL79))</f>
        <v>2238.36025163093</v>
      </c>
      <c r="Q79" s="84" t="n">
        <v>0.7</v>
      </c>
      <c r="R79" s="12" t="n">
        <f aca="false">IF(ISBLANK(D79),"",AT79*Q79)</f>
        <v>794.325</v>
      </c>
      <c r="S79" s="13" t="n">
        <f aca="false">IF(ISBLANK(D79),"",AJ79)</f>
        <v>0.93186730768841</v>
      </c>
      <c r="T79" s="85" t="str">
        <f aca="false">IF(ISBLANK(F79),"",ROUND(S79*10*G79,0)/10/G79)</f>
        <v/>
      </c>
      <c r="U79" s="86" t="str">
        <f aca="false">IF(F79&gt;0,(AJ79-E79)/2,"")</f>
        <v/>
      </c>
      <c r="V79" s="86" t="str">
        <f aca="false">IF(F79&gt;0,AN79,"")</f>
        <v/>
      </c>
      <c r="W79" s="87" t="str">
        <f aca="false">IF(F79&gt;0,IF(U79&lt;Paramètres!$B$5,"!!!",""),"")</f>
        <v/>
      </c>
      <c r="X79" s="88" t="str">
        <f aca="false">IF(U79&lt;&gt;"",IF(U79/3&gt;=Paramètres!$B$5,(S79-E79)/2/3,""),"")</f>
        <v/>
      </c>
      <c r="Y79" s="88" t="str">
        <f aca="false">IF(U79&lt;&gt;"",IF(U79/3&gt;=Paramètres!$B$5,AV79,""),"")</f>
        <v/>
      </c>
      <c r="Z79" s="88" t="str">
        <f aca="false">IF(X79&lt;&gt;"",Y79*2,"")</f>
        <v/>
      </c>
      <c r="AB79" s="1"/>
      <c r="AC79" s="79" t="str">
        <f aca="false">INDEX('Charge de rupture par diamètre'!$C$1:$AC$1,AR79)</f>
        <v>Stephen Paulello France</v>
      </c>
      <c r="AD79" s="13" t="n">
        <f aca="false">IF(ISBLANK(D79),"-",$A$4/16 * 2^((C79-1)/12))</f>
        <v>1244.50793488832</v>
      </c>
      <c r="AE79" s="13" t="n">
        <f aca="false">AG79/(AG$9*SQRT(1+$L79*AG$9^2))</f>
        <v>1244.64062745369</v>
      </c>
      <c r="AF79" s="13" t="n">
        <f aca="false">$AE79*AF$9*SQRT(1+$L79*AF$9^2)</f>
        <v>2507.05076941414</v>
      </c>
      <c r="AG79" s="13" t="n">
        <f aca="false">AF67</f>
        <v>1246.86775207216</v>
      </c>
      <c r="AH79" s="19" t="n">
        <f aca="false">IF(AND(C79&gt;12,F67="",AD79&gt;$A$4),AH67*2*(1+N67),IF(AD79&gt;=$A$4/2,AD79,AD79))</f>
        <v>1247.04169110353</v>
      </c>
      <c r="AI79" s="19" t="n">
        <f aca="false">IF(AND(C79&gt;12,F67="",AD79&gt;$A$4),AH67*2*(1+N67),IF(AD79&gt;=$A$4/2,AD79,AH91/2/(1+N79)))</f>
        <v>1247.04169110353</v>
      </c>
      <c r="AJ79" s="85" t="n">
        <f aca="false">IF(Q79&gt;0,((R79*10^12/PI()/A79^2/D79^2-Paramètres!$B$7*E79^2)*4/PI()/Paramètres!$B$8+E79^2)^0.5,"")</f>
        <v>0.93186730768841</v>
      </c>
      <c r="AK79" s="12" t="n">
        <f aca="false">PI()*Paramètres!$B$7*(E79*A79*D79)^2/10^12</f>
        <v>746.120083876977</v>
      </c>
      <c r="AL79" s="12" t="n">
        <f aca="false">AK79*G79</f>
        <v>2238.36025163093</v>
      </c>
      <c r="AM79" s="80" t="n">
        <f aca="false">AK79/AT79</f>
        <v>0.657519351290572</v>
      </c>
      <c r="AN79" s="85" t="n">
        <f aca="false">(-E79+0.1*Paramètres!$B$7/E79/Paramètres!$B$8/PI()*(AW79^2-E79^2)+(E79^2+3.8*Paramètres!$B$7/Paramètres!$B$8/PI()*(AW79^2-E79^2))^0.5)/2</f>
        <v>0.0159607214200556</v>
      </c>
      <c r="AO79" s="85" t="n">
        <f aca="false">VLOOKUP(C79,Paramètres!$C$30:$F$37,2,1)</f>
        <v>0.55</v>
      </c>
      <c r="AP79" s="85" t="n">
        <f aca="false">VLOOKUP(C79,Paramètres!$C$30:$F$37,4,1)</f>
        <v>0.75</v>
      </c>
      <c r="AQ79" s="11" t="b">
        <f aca="false">AND(I79&gt;=AO79,I79&lt;=AP79)</f>
        <v>1</v>
      </c>
      <c r="AR79" s="12" t="n">
        <f aca="false">HLOOKUP(H79,'Charge de rupture par diamètre'!$D$16:$AC$17,2,0)</f>
        <v>3</v>
      </c>
      <c r="AS79" s="12" t="n">
        <f aca="false">VLOOKUP(E79,'Charge de rupture par diamètre'!$C$16:$AC$53,AR79,1)</f>
        <v>1513</v>
      </c>
      <c r="AT79" s="12" t="n">
        <f aca="false">AS79*Paramètres!$B$9</f>
        <v>1134.75</v>
      </c>
      <c r="AU79" s="79" t="n">
        <f aca="false">PI()*A79^2*D79^2*(Paramètres!$B$7*E79^2+Paramètres!$B$8*PI()/4*(F79^2-E79^2))/10^12</f>
        <v>77.2574038494212</v>
      </c>
      <c r="AV79" s="13" t="n">
        <f aca="false">0.183*(-E79+(E79^2+4*Paramètres!$B$7/PI()/Paramètres!$B$8*(AW79^2-E79^2))^0.5)</f>
        <v>0.00583171730697896</v>
      </c>
      <c r="AW79" s="85" t="n">
        <f aca="false">(R79/PI()/Paramètres!$B$7)^0.5/A79/D79*10^6</f>
        <v>0.92861834712618</v>
      </c>
      <c r="AX79" s="12" t="e">
        <f aca="false">Q79*VLOOKUP(H79,Paramètres!$B$15:$C$18,2,0)*Paramètres!$B$9</f>
        <v>#N/A</v>
      </c>
      <c r="AY79" s="13" t="e">
        <f aca="false">(AX79/PI()/Paramètres!$B$7)^0.5/A79/D79*10^6</f>
        <v>#N/A</v>
      </c>
      <c r="AZ79" s="12" t="n">
        <f aca="false">(IF(F79&gt;0,(F79*F79 -E79*E79)/Paramètres!$B$7*Paramètres!$B$8,0)+E79*E79)*D79*G79</f>
        <v>376.65</v>
      </c>
      <c r="BA79" s="80" t="n">
        <f aca="false">-1+AZ79/AZ78</f>
        <v>-0.0548780487804876</v>
      </c>
      <c r="BB79" s="80" t="n">
        <f aca="false">IF(F79&gt;0,"",0.234*Paramètres!$B$12*10^9*IF(F79&gt;0,E79,E79)^2/Paramètres!$B$7/A79^2/D79^4*10^6)</f>
        <v>0.00543519350549734</v>
      </c>
      <c r="BC79" s="11" t="n">
        <v>2</v>
      </c>
      <c r="BD79" s="80" t="n">
        <f aca="false">BC79*SQRT(1+L79*BC79^2)-BC79</f>
        <v>0.0142768234579633</v>
      </c>
      <c r="BE79" s="11" t="str">
        <f aca="false">IF(F79&gt;0,PI()^2*Paramètres!$B$12*10^9/8/O79*(E79^4+E79^2*F79^2)*10^-12/D79^2/10^-6,"-")</f>
        <v>-</v>
      </c>
      <c r="BF79" s="11" t="n">
        <f aca="false">IF(ISBLANK(D79),"-",PI()^3*E79^4*Paramètres!$B$12*10^9/64/O79/(D79/1000)^2*10^-12)</f>
        <v>0.00358194509499391</v>
      </c>
      <c r="BG79" s="90" t="n">
        <f aca="false">(Paramètres!$B$12*10^9)^0.5/Paramètres!$B$7/2/D79*1000</f>
        <v>184.690405212609</v>
      </c>
    </row>
    <row r="80" customFormat="false" ht="12.8" hidden="false" customHeight="false" outlineLevel="0" collapsed="false">
      <c r="A80" s="79" t="n">
        <f aca="false">IF(ISBLANK(D80),"-",IF(AND($A$6,$A$4/2&lt;AD80),AG80,AD80))</f>
        <v>1321.33864616903</v>
      </c>
      <c r="B80" s="79" t="str">
        <f aca="false">IF(ISBLANK(D80),"",VLOOKUP(MOD(C80-Paramètres!$B$54,12)+1,Paramètres!$B$40:$C$52,2)&amp;" "&amp;(TRUNC((C80-Paramètres!$B$54+120)/12)-10+1))</f>
        <v>Mi 5</v>
      </c>
      <c r="C80" s="11" t="n">
        <f aca="false">IF(ISBLANK(D80),"",C79+1)</f>
        <v>68</v>
      </c>
      <c r="D80" s="25" t="n">
        <v>138</v>
      </c>
      <c r="E80" s="6" t="n">
        <v>0.9</v>
      </c>
      <c r="F80" s="6"/>
      <c r="G80" s="25" t="n">
        <v>3</v>
      </c>
      <c r="H80" s="25" t="s">
        <v>73</v>
      </c>
      <c r="I80" s="80" t="n">
        <f aca="false">IF(ISBLANK(D80),"",IF(F80&gt;0,AU80/AT80,AM80))</f>
        <v>0.585316550305569</v>
      </c>
      <c r="J80" s="81" t="str">
        <f aca="false">IF(ISBLANK(D80),"",IF(AQ80,"","]"&amp;AO80&amp;" -- "&amp;AP80&amp;"["))</f>
        <v/>
      </c>
      <c r="K80" s="80" t="n">
        <f aca="false">IF(ISBLANK(D80),"",BA80)</f>
        <v>-0.109677419354839</v>
      </c>
      <c r="L80" s="82" t="n">
        <f aca="false">IF(ISBLANK(D80),"",IF(F80&gt;0,BF80,BF80))</f>
        <v>0.00507623691201432</v>
      </c>
      <c r="M80" s="80" t="n">
        <f aca="false">IF(ISBLANK(D80),"",IF(F80&gt;0,"-",N80/(2^(1/12)-1)))</f>
        <v>0.128051784893888</v>
      </c>
      <c r="N80" s="83" t="n">
        <f aca="false">IF(ISBLANK(D80),"",IF(F80&gt;0,"-",1.5*L80))</f>
        <v>0.00761435536802147</v>
      </c>
      <c r="O80" s="12" t="n">
        <f aca="false">IF(ISBLANK(D80),"",IF(F80&gt;0,AU80,AK80))</f>
        <v>664.187955459244</v>
      </c>
      <c r="P80" s="12" t="n">
        <f aca="false">IF(ISBLANK(D80),"",IF(F80&gt;0,AU80*G80,AL80))</f>
        <v>1992.56386637773</v>
      </c>
      <c r="Q80" s="84" t="n">
        <v>0.7</v>
      </c>
      <c r="R80" s="12" t="n">
        <f aca="false">IF(ISBLANK(D80),"",AT80*Q80)</f>
        <v>794.325</v>
      </c>
      <c r="S80" s="13" t="n">
        <f aca="false">IF(ISBLANK(D80),"",AJ80)</f>
        <v>0.993497909033282</v>
      </c>
      <c r="T80" s="85" t="str">
        <f aca="false">IF(ISBLANK(F80),"",ROUND(S80*10*G80,0)/10/G80)</f>
        <v/>
      </c>
      <c r="U80" s="86" t="str">
        <f aca="false">IF(F80&gt;0,(AJ80-E80)/2,"")</f>
        <v/>
      </c>
      <c r="V80" s="86" t="str">
        <f aca="false">IF(F80&gt;0,AN80,"")</f>
        <v/>
      </c>
      <c r="W80" s="87" t="str">
        <f aca="false">IF(F80&gt;0,IF(U80&lt;Paramètres!$B$5,"!!!",""),"")</f>
        <v/>
      </c>
      <c r="X80" s="88" t="str">
        <f aca="false">IF(U80&lt;&gt;"",IF(U80/3&gt;=Paramètres!$B$5,(S80-E80)/2/3,""),"")</f>
        <v/>
      </c>
      <c r="Y80" s="88" t="str">
        <f aca="false">IF(U80&lt;&gt;"",IF(U80/3&gt;=Paramètres!$B$5,AV80,""),"")</f>
        <v/>
      </c>
      <c r="Z80" s="88" t="str">
        <f aca="false">IF(X80&lt;&gt;"",Y80*2,"")</f>
        <v/>
      </c>
      <c r="AB80" s="1"/>
      <c r="AC80" s="79" t="str">
        <f aca="false">INDEX('Charge de rupture par diamètre'!$C$1:$AC$1,AR80)</f>
        <v>Stephen Paulello France</v>
      </c>
      <c r="AD80" s="13" t="n">
        <f aca="false">IF(ISBLANK(D80),"-",$A$4/16 * 2^((C80-1)/12))</f>
        <v>1318.51022765148</v>
      </c>
      <c r="AE80" s="13" t="n">
        <f aca="false">AG80/(AG$9*SQRT(1+$L80*AG$9^2))</f>
        <v>1317.99764657654</v>
      </c>
      <c r="AF80" s="13" t="n">
        <f aca="false">$AE80*AF$9*SQRT(1+$L80*AF$9^2)</f>
        <v>2662.6226787101</v>
      </c>
      <c r="AG80" s="13" t="n">
        <f aca="false">AF68</f>
        <v>1321.33864616903</v>
      </c>
      <c r="AH80" s="19" t="n">
        <f aca="false">IF(AND(C80&gt;12,F68="",AD80&gt;$A$4),AH68*2*(1+N68),IF(AD80&gt;=$A$4/2,AD80,AD80))</f>
        <v>1321.49406707167</v>
      </c>
      <c r="AI80" s="19" t="n">
        <f aca="false">IF(AND(C80&gt;12,F68="",AD80&gt;$A$4),AH68*2*(1+N68),IF(AD80&gt;=$A$4/2,AD80,AH92/2/(1+N80)))</f>
        <v>1321.49406707167</v>
      </c>
      <c r="AJ80" s="85" t="n">
        <f aca="false">IF(Q80&gt;0,((R80*10^12/PI()/A80^2/D80^2-Paramètres!$B$7*E80^2)*4/PI()/Paramètres!$B$8+E80^2)^0.5,"")</f>
        <v>0.993497909033282</v>
      </c>
      <c r="AK80" s="12" t="n">
        <f aca="false">PI()*Paramètres!$B$7*(E80*A80*D80)^2/10^12</f>
        <v>664.187955459244</v>
      </c>
      <c r="AL80" s="12" t="n">
        <f aca="false">AK80*G80</f>
        <v>1992.56386637773</v>
      </c>
      <c r="AM80" s="80" t="n">
        <f aca="false">AK80/AT80</f>
        <v>0.585316550305569</v>
      </c>
      <c r="AN80" s="85" t="n">
        <f aca="false">(-E80+0.1*Paramètres!$B$7/E80/Paramètres!$B$8/PI()*(AW80^2-E80^2)+(E80^2+3.8*Paramètres!$B$7/Paramètres!$B$8/PI()*(AW80^2-E80^2))^0.5)/2</f>
        <v>0.0469753410500141</v>
      </c>
      <c r="AO80" s="85" t="n">
        <f aca="false">VLOOKUP(C80,Paramètres!$C$30:$F$37,2,1)</f>
        <v>0.55</v>
      </c>
      <c r="AP80" s="85" t="n">
        <f aca="false">VLOOKUP(C80,Paramètres!$C$30:$F$37,4,1)</f>
        <v>0.75</v>
      </c>
      <c r="AQ80" s="11" t="b">
        <f aca="false">AND(I80&gt;=AO80,I80&lt;=AP80)</f>
        <v>1</v>
      </c>
      <c r="AR80" s="12" t="n">
        <f aca="false">HLOOKUP(H80,'Charge de rupture par diamètre'!$D$16:$AC$17,2,0)</f>
        <v>3</v>
      </c>
      <c r="AS80" s="12" t="n">
        <f aca="false">VLOOKUP(E80,'Charge de rupture par diamètre'!$C$16:$AC$53,AR80,1)</f>
        <v>1513</v>
      </c>
      <c r="AT80" s="12" t="n">
        <f aca="false">AS80*Paramètres!$B$9</f>
        <v>1134.75</v>
      </c>
      <c r="AU80" s="79" t="n">
        <f aca="false">PI()*A80^2*D80^2*(Paramètres!$B$7*E80^2+Paramètres!$B$8*PI()/4*(F80^2-E80^2))/10^12</f>
        <v>68.7736977139152</v>
      </c>
      <c r="AV80" s="13" t="n">
        <f aca="false">0.183*(-E80+(E80^2+4*Paramètres!$B$7/PI()/Paramètres!$B$8*(AW80^2-E80^2))^0.5)</f>
        <v>0.0171101173530906</v>
      </c>
      <c r="AW80" s="85" t="n">
        <f aca="false">(R80/PI()/Paramètres!$B$7)^0.5/A80/D80*10^6</f>
        <v>0.984228932121523</v>
      </c>
      <c r="AX80" s="12" t="e">
        <f aca="false">Q80*VLOOKUP(H80,Paramètres!$B$15:$C$18,2,0)*Paramètres!$B$9</f>
        <v>#N/A</v>
      </c>
      <c r="AY80" s="13" t="e">
        <f aca="false">(AX80/PI()/Paramètres!$B$7)^0.5/A80/D80*10^6</f>
        <v>#N/A</v>
      </c>
      <c r="AZ80" s="12" t="n">
        <f aca="false">(IF(F80&gt;0,(F80*F80 -E80*E80)/Paramètres!$B$7*Paramètres!$B$8,0)+E80*E80)*D80*G80</f>
        <v>335.34</v>
      </c>
      <c r="BA80" s="80" t="n">
        <f aca="false">-1+AZ80/AZ79</f>
        <v>-0.109677419354839</v>
      </c>
      <c r="BB80" s="80" t="n">
        <f aca="false">IF(F80&gt;0,"",0.234*Paramètres!$B$12*10^9*IF(F80&gt;0,E80,E80)^2/Paramètres!$B$7/A80^2/D80^4*10^6)</f>
        <v>0.00770261105763626</v>
      </c>
      <c r="BC80" s="11" t="n">
        <v>2</v>
      </c>
      <c r="BD80" s="80" t="n">
        <f aca="false">BC80*SQRT(1+L80*BC80^2)-BC80</f>
        <v>0.0202029082723914</v>
      </c>
      <c r="BE80" s="11" t="str">
        <f aca="false">IF(F80&gt;0,PI()^2*Paramètres!$B$12*10^9/8/O80*(E80^4+E80^2*F80^2)*10^-12/D80^2/10^-6,"-")</f>
        <v>-</v>
      </c>
      <c r="BF80" s="11" t="n">
        <f aca="false">IF(ISBLANK(D80),"-",PI()^3*E80^4*Paramètres!$B$12*10^9/64/O80/(D80/1000)^2*10^-12)</f>
        <v>0.00507623691201432</v>
      </c>
      <c r="BG80" s="90" t="n">
        <f aca="false">(Paramètres!$B$12*10^9)^0.5/Paramètres!$B$7/2/D80*1000</f>
        <v>207.442121796771</v>
      </c>
    </row>
    <row r="81" customFormat="false" ht="12.8" hidden="false" customHeight="false" outlineLevel="0" collapsed="false">
      <c r="A81" s="79" t="n">
        <f aca="false">IF(ISBLANK(D81),"-",IF(AND($A$6,$A$4/2&lt;AD81),AG81,AD81))</f>
        <v>1400.3740107316</v>
      </c>
      <c r="B81" s="79" t="str">
        <f aca="false">IF(ISBLANK(D81),"",VLOOKUP(MOD(C81-Paramètres!$B$54,12)+1,Paramètres!$B$40:$C$52,2)&amp;" "&amp;(TRUNC((C81-Paramètres!$B$54+120)/12)-10+1))</f>
        <v>Fa 5</v>
      </c>
      <c r="C81" s="11" t="n">
        <f aca="false">IF(ISBLANK(D81),"",C80+1)</f>
        <v>69</v>
      </c>
      <c r="D81" s="25" t="n">
        <v>133</v>
      </c>
      <c r="E81" s="6" t="n">
        <v>0.9</v>
      </c>
      <c r="F81" s="6"/>
      <c r="G81" s="25" t="n">
        <v>3</v>
      </c>
      <c r="H81" s="25" t="s">
        <v>73</v>
      </c>
      <c r="I81" s="80" t="n">
        <f aca="false">IF(ISBLANK(D81),"",IF(F81&gt;0,AU81/AT81,AM81))</f>
        <v>0.610654726906535</v>
      </c>
      <c r="J81" s="81" t="str">
        <f aca="false">IF(ISBLANK(D81),"",IF(AQ81,"","]"&amp;AO81&amp;" -- "&amp;AP81&amp;"["))</f>
        <v/>
      </c>
      <c r="K81" s="80" t="n">
        <f aca="false">IF(ISBLANK(D81),"",BA81)</f>
        <v>-0.0362318840579711</v>
      </c>
      <c r="L81" s="82" t="n">
        <f aca="false">IF(ISBLANK(D81),"",IF(F81&gt;0,BF81,BF81))</f>
        <v>0.00523831794406221</v>
      </c>
      <c r="M81" s="80" t="n">
        <f aca="false">IF(ISBLANK(D81),"",IF(F81&gt;0,"-",N81/(2^(1/12)-1)))</f>
        <v>0.132140397346561</v>
      </c>
      <c r="N81" s="83" t="n">
        <f aca="false">IF(ISBLANK(D81),"",IF(F81&gt;0,"-",1.5*L81))</f>
        <v>0.00785747691609331</v>
      </c>
      <c r="O81" s="12" t="n">
        <f aca="false">IF(ISBLANK(D81),"",IF(F81&gt;0,AU81,AK81))</f>
        <v>692.940451357191</v>
      </c>
      <c r="P81" s="12" t="n">
        <f aca="false">IF(ISBLANK(D81),"",IF(F81&gt;0,AU81*G81,AL81))</f>
        <v>2078.82135407157</v>
      </c>
      <c r="Q81" s="84" t="n">
        <v>0.7</v>
      </c>
      <c r="R81" s="12" t="n">
        <f aca="false">IF(ISBLANK(D81),"",AT81*Q81)</f>
        <v>794.325</v>
      </c>
      <c r="S81" s="13" t="n">
        <f aca="false">IF(ISBLANK(D81),"",AJ81)</f>
        <v>0.970670057893218</v>
      </c>
      <c r="T81" s="85" t="str">
        <f aca="false">IF(ISBLANK(F81),"",ROUND(S81*10*G81,0)/10/G81)</f>
        <v/>
      </c>
      <c r="U81" s="86" t="str">
        <f aca="false">IF(F81&gt;0,(AJ81-E81)/2,"")</f>
        <v/>
      </c>
      <c r="V81" s="86" t="str">
        <f aca="false">IF(F81&gt;0,AN81,"")</f>
        <v/>
      </c>
      <c r="W81" s="87" t="str">
        <f aca="false">IF(F81&gt;0,IF(U81&lt;Paramètres!$B$5,"!!!",""),"")</f>
        <v/>
      </c>
      <c r="X81" s="88" t="str">
        <f aca="false">IF(U81&lt;&gt;"",IF(U81/3&gt;=Paramètres!$B$5,(S81-E81)/2/3,""),"")</f>
        <v/>
      </c>
      <c r="Y81" s="88" t="str">
        <f aca="false">IF(U81&lt;&gt;"",IF(U81/3&gt;=Paramètres!$B$5,AV81,""),"")</f>
        <v/>
      </c>
      <c r="Z81" s="88" t="str">
        <f aca="false">IF(X81&lt;&gt;"",Y81*2,"")</f>
        <v/>
      </c>
      <c r="AB81" s="1"/>
      <c r="AC81" s="79" t="str">
        <f aca="false">INDEX('Charge de rupture par diamètre'!$C$1:$AC$1,AR81)</f>
        <v>Stephen Paulello France</v>
      </c>
      <c r="AD81" s="13" t="n">
        <f aca="false">IF(ISBLANK(D81),"-",$A$4/16 * 2^((C81-1)/12))</f>
        <v>1396.91292573202</v>
      </c>
      <c r="AE81" s="13" t="n">
        <f aca="false">AG81/(AG$9*SQRT(1+$L81*AG$9^2))</f>
        <v>1396.72055579679</v>
      </c>
      <c r="AF81" s="13" t="n">
        <f aca="false">$AE81*AF$9*SQRT(1+$L81*AF$9^2)</f>
        <v>2822.55525846646</v>
      </c>
      <c r="AG81" s="13" t="n">
        <f aca="false">AF69</f>
        <v>1400.3740107316</v>
      </c>
      <c r="AH81" s="19" t="n">
        <f aca="false">IF(AND(C81&gt;12,F69="",AD81&gt;$A$4),AH69*2*(1+N69),IF(AD81&gt;=$A$4/2,AD81,AD81))</f>
        <v>1400.50877037293</v>
      </c>
      <c r="AI81" s="19" t="n">
        <f aca="false">IF(AND(C81&gt;12,F69="",AD81&gt;$A$4),AH69*2*(1+N69),IF(AD81&gt;=$A$4/2,AD81,AH93/2/(1+N81)))</f>
        <v>1400.50877037293</v>
      </c>
      <c r="AJ81" s="85" t="n">
        <f aca="false">IF(Q81&gt;0,((R81*10^12/PI()/A81^2/D81^2-Paramètres!$B$7*E81^2)*4/PI()/Paramètres!$B$8+E81^2)^0.5,"")</f>
        <v>0.970670057893218</v>
      </c>
      <c r="AK81" s="12" t="n">
        <f aca="false">PI()*Paramètres!$B$7*(E81*A81*D81)^2/10^12</f>
        <v>692.940451357191</v>
      </c>
      <c r="AL81" s="12" t="n">
        <f aca="false">AK81*G81</f>
        <v>2078.82135407157</v>
      </c>
      <c r="AM81" s="80" t="n">
        <f aca="false">AK81/AT81</f>
        <v>0.610654726906535</v>
      </c>
      <c r="AN81" s="85" t="n">
        <f aca="false">(-E81+0.1*Paramètres!$B$7/E81/Paramètres!$B$8/PI()*(AW81^2-E81^2)+(E81^2+3.8*Paramètres!$B$7/Paramètres!$B$8/PI()*(AW81^2-E81^2))^0.5)/2</f>
        <v>0.0354657117975325</v>
      </c>
      <c r="AO81" s="85" t="n">
        <f aca="false">VLOOKUP(C81,Paramètres!$C$30:$F$37,2,1)</f>
        <v>0.55</v>
      </c>
      <c r="AP81" s="85" t="n">
        <f aca="false">VLOOKUP(C81,Paramètres!$C$30:$F$37,4,1)</f>
        <v>0.75</v>
      </c>
      <c r="AQ81" s="11" t="b">
        <f aca="false">AND(I81&gt;=AO81,I81&lt;=AP81)</f>
        <v>1</v>
      </c>
      <c r="AR81" s="12" t="n">
        <f aca="false">HLOOKUP(H81,'Charge de rupture par diamètre'!$D$16:$AC$17,2,0)</f>
        <v>3</v>
      </c>
      <c r="AS81" s="12" t="n">
        <f aca="false">VLOOKUP(E81,'Charge de rupture par diamètre'!$C$16:$AC$53,AR81,1)</f>
        <v>1513</v>
      </c>
      <c r="AT81" s="12" t="n">
        <f aca="false">AS81*Paramètres!$B$9</f>
        <v>1134.75</v>
      </c>
      <c r="AU81" s="79" t="n">
        <f aca="false">PI()*A81^2*D81^2*(Paramètres!$B$7*E81^2+Paramètres!$B$8*PI()/4*(F81^2-E81^2))/10^12</f>
        <v>71.7508903069947</v>
      </c>
      <c r="AV81" s="13" t="n">
        <f aca="false">0.183*(-E81+(E81^2+4*Paramètres!$B$7/PI()/Paramètres!$B$8*(AW81^2-E81^2))^0.5)</f>
        <v>0.012932620594459</v>
      </c>
      <c r="AW81" s="85" t="n">
        <f aca="false">(R81/PI()/Paramètres!$B$7)^0.5/A81/D81*10^6</f>
        <v>0.963593069738908</v>
      </c>
      <c r="AX81" s="12" t="e">
        <f aca="false">Q81*VLOOKUP(H81,Paramètres!$B$15:$C$18,2,0)*Paramètres!$B$9</f>
        <v>#N/A</v>
      </c>
      <c r="AY81" s="13" t="e">
        <f aca="false">(AX81/PI()/Paramètres!$B$7)^0.5/A81/D81*10^6</f>
        <v>#N/A</v>
      </c>
      <c r="AZ81" s="12" t="n">
        <f aca="false">(IF(F81&gt;0,(F81*F81 -E81*E81)/Paramètres!$B$7*Paramètres!$B$8,0)+E81*E81)*D81*G81</f>
        <v>323.19</v>
      </c>
      <c r="BA81" s="80" t="n">
        <f aca="false">-1+AZ81/AZ80</f>
        <v>-0.0362318840579711</v>
      </c>
      <c r="BB81" s="80" t="n">
        <f aca="false">IF(F81&gt;0,"",0.234*Paramètres!$B$12*10^9*IF(F81&gt;0,E81,E81)^2/Paramètres!$B$7/A81^2/D81^4*10^6)</f>
        <v>0.00794855055402391</v>
      </c>
      <c r="BC81" s="11" t="n">
        <v>2</v>
      </c>
      <c r="BD81" s="80" t="n">
        <f aca="false">BC81*SQRT(1+L81*BC81^2)-BC81</f>
        <v>0.0208446469496351</v>
      </c>
      <c r="BE81" s="11" t="str">
        <f aca="false">IF(F81&gt;0,PI()^2*Paramètres!$B$12*10^9/8/O81*(E81^4+E81^2*F81^2)*10^-12/D81^2/10^-6,"-")</f>
        <v>-</v>
      </c>
      <c r="BF81" s="11" t="n">
        <f aca="false">IF(ISBLANK(D81),"-",PI()^3*E81^4*Paramètres!$B$12*10^9/64/O81/(D81/1000)^2*10^-12)</f>
        <v>0.00523831794406221</v>
      </c>
      <c r="BG81" s="90" t="n">
        <f aca="false">(Paramètres!$B$12*10^9)^0.5/Paramètres!$B$7/2/D81*1000</f>
        <v>215.240697804169</v>
      </c>
    </row>
    <row r="82" customFormat="false" ht="12.8" hidden="false" customHeight="false" outlineLevel="0" collapsed="false">
      <c r="A82" s="79" t="n">
        <f aca="false">IF(ISBLANK(D82),"-",IF(AND($A$6,$A$4/2&lt;AD82),AG82,AD82))</f>
        <v>1483.94338385015</v>
      </c>
      <c r="B82" s="79" t="str">
        <f aca="false">IF(ISBLANK(D82),"",VLOOKUP(MOD(C82-Paramètres!$B$54,12)+1,Paramètres!$B$40:$C$52,2)&amp;" "&amp;(TRUNC((C82-Paramètres!$B$54+120)/12)-10+1))</f>
        <v>Fa# 5</v>
      </c>
      <c r="C82" s="11" t="n">
        <f aca="false">IF(ISBLANK(D82),"",C81+1)</f>
        <v>70</v>
      </c>
      <c r="D82" s="25" t="n">
        <v>127</v>
      </c>
      <c r="E82" s="6" t="n">
        <v>0.9</v>
      </c>
      <c r="F82" s="6"/>
      <c r="G82" s="25" t="n">
        <v>3</v>
      </c>
      <c r="H82" s="25" t="s">
        <v>73</v>
      </c>
      <c r="I82" s="80" t="n">
        <f aca="false">IF(ISBLANK(D82),"",IF(F82&gt;0,AU82/AT82,AM82))</f>
        <v>0.625239579731001</v>
      </c>
      <c r="J82" s="81" t="str">
        <f aca="false">IF(ISBLANK(D82),"",IF(AQ82,"","]"&amp;AO82&amp;" -- "&amp;AP82&amp;"["))</f>
        <v/>
      </c>
      <c r="K82" s="80" t="n">
        <f aca="false">IF(ISBLANK(D82),"",BA82)</f>
        <v>-0.0451127819548872</v>
      </c>
      <c r="L82" s="82" t="n">
        <f aca="false">IF(ISBLANK(D82),"",IF(F82&gt;0,BF82,BF82))</f>
        <v>0.00561095719399851</v>
      </c>
      <c r="M82" s="80" t="n">
        <f aca="false">IF(ISBLANK(D82),"",IF(F82&gt;0,"-",N82/(2^(1/12)-1)))</f>
        <v>0.14154049468302</v>
      </c>
      <c r="N82" s="83" t="n">
        <f aca="false">IF(ISBLANK(D82),"",IF(F82&gt;0,"-",1.5*L82))</f>
        <v>0.00841643579099777</v>
      </c>
      <c r="O82" s="12" t="n">
        <f aca="false">IF(ISBLANK(D82),"",IF(F82&gt;0,AU82,AK82))</f>
        <v>709.490613099753</v>
      </c>
      <c r="P82" s="12" t="n">
        <f aca="false">IF(ISBLANK(D82),"",IF(F82&gt;0,AU82*G82,AL82))</f>
        <v>2128.47183929926</v>
      </c>
      <c r="Q82" s="84" t="n">
        <v>0.7</v>
      </c>
      <c r="R82" s="12" t="n">
        <f aca="false">IF(ISBLANK(D82),"",AT82*Q82)</f>
        <v>794.325</v>
      </c>
      <c r="S82" s="13" t="n">
        <f aca="false">IF(ISBLANK(D82),"",AJ82)</f>
        <v>0.958143712223765</v>
      </c>
      <c r="T82" s="85" t="str">
        <f aca="false">IF(ISBLANK(F82),"",ROUND(S82*10*G82,0)/10/G82)</f>
        <v/>
      </c>
      <c r="U82" s="86" t="str">
        <f aca="false">IF(F82&gt;0,(AJ82-E82)/2,"")</f>
        <v/>
      </c>
      <c r="V82" s="86" t="str">
        <f aca="false">IF(F82&gt;0,AN82,"")</f>
        <v/>
      </c>
      <c r="W82" s="87" t="str">
        <f aca="false">IF(F82&gt;0,IF(U82&lt;Paramètres!$B$5,"!!!",""),"")</f>
        <v/>
      </c>
      <c r="X82" s="88" t="str">
        <f aca="false">IF(U82&lt;&gt;"",IF(U82/3&gt;=Paramètres!$B$5,(S82-E82)/2/3,""),"")</f>
        <v/>
      </c>
      <c r="Y82" s="88" t="str">
        <f aca="false">IF(U82&lt;&gt;"",IF(U82/3&gt;=Paramètres!$B$5,AV82,""),"")</f>
        <v/>
      </c>
      <c r="Z82" s="88" t="str">
        <f aca="false">IF(X82&lt;&gt;"",Y82*2,"")</f>
        <v/>
      </c>
      <c r="AB82" s="1"/>
      <c r="AC82" s="79" t="str">
        <f aca="false">INDEX('Charge de rupture par diamètre'!$C$1:$AC$1,AR82)</f>
        <v>Stephen Paulello France</v>
      </c>
      <c r="AD82" s="13" t="n">
        <f aca="false">IF(ISBLANK(D82),"-",$A$4/16 * 2^((C82-1)/12))</f>
        <v>1479.97769084654</v>
      </c>
      <c r="AE82" s="13" t="n">
        <f aca="false">AG82/(AG$9*SQRT(1+$L82*AG$9^2))</f>
        <v>1479.79765046237</v>
      </c>
      <c r="AF82" s="13" t="n">
        <f aca="false">$AE82*AF$9*SQRT(1+$L82*AF$9^2)</f>
        <v>2992.62333543576</v>
      </c>
      <c r="AG82" s="13" t="n">
        <f aca="false">AF70</f>
        <v>1483.94338385015</v>
      </c>
      <c r="AH82" s="19" t="n">
        <f aca="false">IF(AND(C82&gt;12,F70="",AD82&gt;$A$4),AH70*2*(1+N70),IF(AD82&gt;=$A$4/2,AD82,AD82))</f>
        <v>1484.05354328442</v>
      </c>
      <c r="AI82" s="19" t="n">
        <f aca="false">IF(AND(C82&gt;12,F70="",AD82&gt;$A$4),AH70*2*(1+N70),IF(AD82&gt;=$A$4/2,AD82,AH94/2/(1+N82)))</f>
        <v>1484.05354328442</v>
      </c>
      <c r="AJ82" s="85" t="n">
        <f aca="false">IF(Q82&gt;0,((R82*10^12/PI()/A82^2/D82^2-Paramètres!$B$7*E82^2)*4/PI()/Paramètres!$B$8+E82^2)^0.5,"")</f>
        <v>0.958143712223765</v>
      </c>
      <c r="AK82" s="12" t="n">
        <f aca="false">PI()*Paramètres!$B$7*(E82*A82*D82)^2/10^12</f>
        <v>709.490613099753</v>
      </c>
      <c r="AL82" s="12" t="n">
        <f aca="false">AK82*G82</f>
        <v>2128.47183929926</v>
      </c>
      <c r="AM82" s="80" t="n">
        <f aca="false">AK82/AT82</f>
        <v>0.625239579731001</v>
      </c>
      <c r="AN82" s="85" t="n">
        <f aca="false">(-E82+0.1*Paramètres!$B$7/E82/Paramètres!$B$8/PI()*(AW82^2-E82^2)+(E82^2+3.8*Paramètres!$B$7/Paramètres!$B$8/PI()*(AW82^2-E82^2))^0.5)/2</f>
        <v>0.0291608352910018</v>
      </c>
      <c r="AO82" s="85" t="n">
        <f aca="false">VLOOKUP(C82,Paramètres!$C$30:$F$37,2,1)</f>
        <v>0.55</v>
      </c>
      <c r="AP82" s="85" t="n">
        <f aca="false">VLOOKUP(C82,Paramètres!$C$30:$F$37,4,1)</f>
        <v>0.75</v>
      </c>
      <c r="AQ82" s="11" t="b">
        <f aca="false">AND(I82&gt;=AO82,I82&lt;=AP82)</f>
        <v>1</v>
      </c>
      <c r="AR82" s="12" t="n">
        <f aca="false">HLOOKUP(H82,'Charge de rupture par diamètre'!$D$16:$AC$17,2,0)</f>
        <v>3</v>
      </c>
      <c r="AS82" s="12" t="n">
        <f aca="false">VLOOKUP(E82,'Charge de rupture par diamètre'!$C$16:$AC$53,AR82,1)</f>
        <v>1513</v>
      </c>
      <c r="AT82" s="12" t="n">
        <f aca="false">AS82*Paramètres!$B$9</f>
        <v>1134.75</v>
      </c>
      <c r="AU82" s="79" t="n">
        <f aca="false">PI()*A82^2*D82^2*(Paramètres!$B$7*E82^2+Paramètres!$B$8*PI()/4*(F82^2-E82^2))/10^12</f>
        <v>73.464585672055</v>
      </c>
      <c r="AV82" s="13" t="n">
        <f aca="false">0.183*(-E82+(E82^2+4*Paramètres!$B$7/PI()/Paramètres!$B$8*(AW82^2-E82^2))^0.5)</f>
        <v>0.010640299336949</v>
      </c>
      <c r="AW82" s="85" t="n">
        <f aca="false">(R82/PI()/Paramètres!$B$7)^0.5/A82/D82*10^6</f>
        <v>0.952287970354435</v>
      </c>
      <c r="AX82" s="12" t="e">
        <f aca="false">Q82*VLOOKUP(H82,Paramètres!$B$15:$C$18,2,0)*Paramètres!$B$9</f>
        <v>#N/A</v>
      </c>
      <c r="AY82" s="13" t="e">
        <f aca="false">(AX82/PI()/Paramètres!$B$7)^0.5/A82/D82*10^6</f>
        <v>#N/A</v>
      </c>
      <c r="AZ82" s="12" t="n">
        <f aca="false">(IF(F82&gt;0,(F82*F82 -E82*E82)/Paramètres!$B$7*Paramètres!$B$8,0)+E82*E82)*D82*G82</f>
        <v>308.61</v>
      </c>
      <c r="BA82" s="80" t="n">
        <f aca="false">-1+AZ82/AZ81</f>
        <v>-0.0451127819548872</v>
      </c>
      <c r="BB82" s="80" t="n">
        <f aca="false">IF(F82&gt;0,"",0.234*Paramètres!$B$12*10^9*IF(F82&gt;0,E82,E82)^2/Paramètres!$B$7/A82^2/D82^4*10^6)</f>
        <v>0.008513988152154</v>
      </c>
      <c r="BC82" s="11" t="n">
        <v>2</v>
      </c>
      <c r="BD82" s="80" t="n">
        <f aca="false">BC82*SQRT(1+L82*BC82^2)-BC82</f>
        <v>0.0223192910873338</v>
      </c>
      <c r="BE82" s="11" t="str">
        <f aca="false">IF(F82&gt;0,PI()^2*Paramètres!$B$12*10^9/8/O82*(E82^4+E82^2*F82^2)*10^-12/D82^2/10^-6,"-")</f>
        <v>-</v>
      </c>
      <c r="BF82" s="11" t="n">
        <f aca="false">IF(ISBLANK(D82),"-",PI()^3*E82^4*Paramètres!$B$12*10^9/64/O82/(D82/1000)^2*10^-12)</f>
        <v>0.00561095719399851</v>
      </c>
      <c r="BG82" s="90" t="n">
        <f aca="false">(Paramètres!$B$12*10^9)^0.5/Paramètres!$B$7/2/D82*1000</f>
        <v>225.409549668933</v>
      </c>
    </row>
    <row r="83" customFormat="false" ht="12.8" hidden="false" customHeight="false" outlineLevel="0" collapsed="false">
      <c r="A83" s="79" t="n">
        <f aca="false">IF(ISBLANK(D83),"-",IF(AND($A$6,$A$4/2&lt;AD83),AG83,AD83))</f>
        <v>1572.93223619898</v>
      </c>
      <c r="B83" s="79" t="str">
        <f aca="false">IF(ISBLANK(D83),"",VLOOKUP(MOD(C83-Paramètres!$B$54,12)+1,Paramètres!$B$40:$C$52,2)&amp;" "&amp;(TRUNC((C83-Paramètres!$B$54+120)/12)-10+1))</f>
        <v>Sol 5</v>
      </c>
      <c r="C83" s="11" t="n">
        <f aca="false">IF(ISBLANK(D83),"",C82+1)</f>
        <v>71</v>
      </c>
      <c r="D83" s="25" t="n">
        <v>120</v>
      </c>
      <c r="E83" s="6" t="n">
        <v>0.9</v>
      </c>
      <c r="F83" s="6"/>
      <c r="G83" s="25" t="n">
        <v>3</v>
      </c>
      <c r="H83" s="25" t="s">
        <v>73</v>
      </c>
      <c r="I83" s="80" t="n">
        <f aca="false">IF(ISBLANK(D83),"",IF(F83&gt;0,AU83/AT83,AM83))</f>
        <v>0.627172309189891</v>
      </c>
      <c r="J83" s="81" t="str">
        <f aca="false">IF(ISBLANK(D83),"",IF(AQ83,"","]"&amp;AO83&amp;" -- "&amp;AP83&amp;"["))</f>
        <v/>
      </c>
      <c r="K83" s="80" t="n">
        <f aca="false">IF(ISBLANK(D83),"",BA83)</f>
        <v>-0.0551181102362205</v>
      </c>
      <c r="L83" s="82" t="n">
        <f aca="false">IF(ISBLANK(D83),"",IF(F83&gt;0,BF83,BF83))</f>
        <v>0.00626529454013038</v>
      </c>
      <c r="M83" s="80" t="n">
        <f aca="false">IF(ISBLANK(D83),"",IF(F83&gt;0,"-",N83/(2^(1/12)-1)))</f>
        <v>0.158046632309616</v>
      </c>
      <c r="N83" s="83" t="n">
        <f aca="false">IF(ISBLANK(D83),"",IF(F83&gt;0,"-",1.5*L83))</f>
        <v>0.00939794181019557</v>
      </c>
      <c r="O83" s="12" t="n">
        <f aca="false">IF(ISBLANK(D83),"",IF(F83&gt;0,AU83,AK83))</f>
        <v>711.683777853229</v>
      </c>
      <c r="P83" s="12" t="n">
        <f aca="false">IF(ISBLANK(D83),"",IF(F83&gt;0,AU83*G83,AL83))</f>
        <v>2135.05133355969</v>
      </c>
      <c r="Q83" s="84" t="n">
        <v>0.7</v>
      </c>
      <c r="R83" s="12" t="n">
        <f aca="false">IF(ISBLANK(D83),"",AT83*Q83)</f>
        <v>794.325</v>
      </c>
      <c r="S83" s="13" t="n">
        <f aca="false">IF(ISBLANK(D83),"",AJ83)</f>
        <v>0.956515537309858</v>
      </c>
      <c r="T83" s="85" t="str">
        <f aca="false">IF(ISBLANK(F83),"",ROUND(S83*10*G83,0)/10/G83)</f>
        <v/>
      </c>
      <c r="U83" s="86" t="str">
        <f aca="false">IF(F83&gt;0,(AJ83-E83)/2,"")</f>
        <v/>
      </c>
      <c r="V83" s="86" t="str">
        <f aca="false">IF(F83&gt;0,AN83,"")</f>
        <v/>
      </c>
      <c r="W83" s="87" t="str">
        <f aca="false">IF(F83&gt;0,IF(U83&lt;Paramètres!$B$5,"!!!",""),"")</f>
        <v/>
      </c>
      <c r="X83" s="88" t="str">
        <f aca="false">IF(U83&lt;&gt;"",IF(U83/3&gt;=Paramètres!$B$5,(S83-E83)/2/3,""),"")</f>
        <v/>
      </c>
      <c r="Y83" s="88" t="str">
        <f aca="false">IF(U83&lt;&gt;"",IF(U83/3&gt;=Paramètres!$B$5,AV83,""),"")</f>
        <v/>
      </c>
      <c r="Z83" s="88" t="str">
        <f aca="false">IF(X83&lt;&gt;"",Y83*2,"")</f>
        <v/>
      </c>
      <c r="AB83" s="1"/>
      <c r="AC83" s="79" t="str">
        <f aca="false">INDEX('Charge de rupture par diamètre'!$C$1:$AC$1,AR83)</f>
        <v>Stephen Paulello France</v>
      </c>
      <c r="AD83" s="13" t="n">
        <f aca="false">IF(ISBLANK(D83),"-",$A$4/16 * 2^((C83-1)/12))</f>
        <v>1567.981743927</v>
      </c>
      <c r="AE83" s="13" t="n">
        <f aca="false">AG83/(AG$9*SQRT(1+$L83*AG$9^2))</f>
        <v>1568.02782799991</v>
      </c>
      <c r="AF83" s="13" t="n">
        <f aca="false">$AE83*AF$9*SQRT(1+$L83*AF$9^2)</f>
        <v>3175.10911343177</v>
      </c>
      <c r="AG83" s="13" t="n">
        <f aca="false">AF71</f>
        <v>1572.93223619898</v>
      </c>
      <c r="AH83" s="19" t="n">
        <f aca="false">IF(AND(C83&gt;12,F71="",AD83&gt;$A$4),AH71*2*(1+N71),IF(AD83&gt;=$A$4/2,AD83,AD83))</f>
        <v>1573.01581279154</v>
      </c>
      <c r="AI83" s="19" t="n">
        <f aca="false">IF(AND(C83&gt;12,F71="",AD83&gt;$A$4),AH71*2*(1+N71),IF(AD83&gt;=$A$4/2,AD83,AH95/2/(1+N83)))</f>
        <v>1573.01581279154</v>
      </c>
      <c r="AJ83" s="85" t="n">
        <f aca="false">IF(Q83&gt;0,((R83*10^12/PI()/A83^2/D83^2-Paramètres!$B$7*E83^2)*4/PI()/Paramètres!$B$8+E83^2)^0.5,"")</f>
        <v>0.956515537309858</v>
      </c>
      <c r="AK83" s="12" t="n">
        <f aca="false">PI()*Paramètres!$B$7*(E83*A83*D83)^2/10^12</f>
        <v>711.683777853229</v>
      </c>
      <c r="AL83" s="12" t="n">
        <f aca="false">AK83*G83</f>
        <v>2135.05133355969</v>
      </c>
      <c r="AM83" s="80" t="n">
        <f aca="false">AK83/AT83</f>
        <v>0.627172309189891</v>
      </c>
      <c r="AN83" s="85" t="n">
        <f aca="false">(-E83+0.1*Paramètres!$B$7/E83/Paramètres!$B$8/PI()*(AW83^2-E83^2)+(E83^2+3.8*Paramètres!$B$7/Paramètres!$B$8/PI()*(AW83^2-E83^2))^0.5)/2</f>
        <v>0.028341898797499</v>
      </c>
      <c r="AO83" s="85" t="n">
        <f aca="false">VLOOKUP(C83,Paramètres!$C$30:$F$37,2,1)</f>
        <v>0.55</v>
      </c>
      <c r="AP83" s="85" t="n">
        <f aca="false">VLOOKUP(C83,Paramètres!$C$30:$F$37,4,1)</f>
        <v>0.75</v>
      </c>
      <c r="AQ83" s="11" t="b">
        <f aca="false">AND(I83&gt;=AO83,I83&lt;=AP83)</f>
        <v>1</v>
      </c>
      <c r="AR83" s="12" t="n">
        <f aca="false">HLOOKUP(H83,'Charge de rupture par diamètre'!$D$16:$AC$17,2,0)</f>
        <v>3</v>
      </c>
      <c r="AS83" s="12" t="n">
        <f aca="false">VLOOKUP(E83,'Charge de rupture par diamètre'!$C$16:$AC$53,AR83,1)</f>
        <v>1513</v>
      </c>
      <c r="AT83" s="12" t="n">
        <f aca="false">AS83*Paramètres!$B$9</f>
        <v>1134.75</v>
      </c>
      <c r="AU83" s="79" t="n">
        <f aca="false">PI()*A83^2*D83^2*(Paramètres!$B$7*E83^2+Paramètres!$B$8*PI()/4*(F83^2-E83^2))/10^12</f>
        <v>73.6916780915315</v>
      </c>
      <c r="AV83" s="13" t="n">
        <f aca="false">0.183*(-E83+(E83^2+4*Paramètres!$B$7/PI()/Paramètres!$B$8*(AW83^2-E83^2))^0.5)</f>
        <v>0.010342343327704</v>
      </c>
      <c r="AW83" s="85" t="n">
        <f aca="false">(R83/PI()/Paramètres!$B$7)^0.5/A83/D83*10^6</f>
        <v>0.950819526089317</v>
      </c>
      <c r="AX83" s="12" t="e">
        <f aca="false">Q83*VLOOKUP(H83,Paramètres!$B$15:$C$18,2,0)*Paramètres!$B$9</f>
        <v>#N/A</v>
      </c>
      <c r="AY83" s="13" t="e">
        <f aca="false">(AX83/PI()/Paramètres!$B$7)^0.5/A83/D83*10^6</f>
        <v>#N/A</v>
      </c>
      <c r="AZ83" s="12" t="n">
        <f aca="false">(IF(F83&gt;0,(F83*F83 -E83*E83)/Paramètres!$B$7*Paramètres!$B$8,0)+E83*E83)*D83*G83</f>
        <v>291.6</v>
      </c>
      <c r="BA83" s="80" t="n">
        <f aca="false">-1+AZ83/AZ82</f>
        <v>-0.0551181102362205</v>
      </c>
      <c r="BB83" s="80" t="n">
        <f aca="false">IF(F83&gt;0,"",0.234*Paramètres!$B$12*10^9*IF(F83&gt;0,E83,E83)^2/Paramètres!$B$7/A83^2/D83^4*10^6)</f>
        <v>0.00950687051070012</v>
      </c>
      <c r="BC83" s="11" t="n">
        <v>2</v>
      </c>
      <c r="BD83" s="80" t="n">
        <f aca="false">BC83*SQRT(1+L83*BC83^2)-BC83</f>
        <v>0.0249060997098325</v>
      </c>
      <c r="BE83" s="11" t="str">
        <f aca="false">IF(F83&gt;0,PI()^2*Paramètres!$B$12*10^9/8/O83*(E83^4+E83^2*F83^2)*10^-12/D83^2/10^-6,"-")</f>
        <v>-</v>
      </c>
      <c r="BF83" s="11" t="n">
        <f aca="false">IF(ISBLANK(D83),"-",PI()^3*E83^4*Paramètres!$B$12*10^9/64/O83/(D83/1000)^2*10^-12)</f>
        <v>0.00626529454013038</v>
      </c>
      <c r="BG83" s="90" t="n">
        <f aca="false">(Paramètres!$B$12*10^9)^0.5/Paramètres!$B$7/2/D83*1000</f>
        <v>238.558440066287</v>
      </c>
    </row>
    <row r="84" customFormat="false" ht="12.8" hidden="false" customHeight="false" outlineLevel="0" collapsed="false">
      <c r="A84" s="79" t="n">
        <f aca="false">IF(ISBLANK(D84),"-",IF(AND($A$6,$A$4/2&lt;AD84),AG84,AD84))</f>
        <v>1667.06979783214</v>
      </c>
      <c r="B84" s="79" t="str">
        <f aca="false">IF(ISBLANK(D84),"",VLOOKUP(MOD(C84-Paramètres!$B$54,12)+1,Paramètres!$B$40:$C$52,2)&amp;" "&amp;(TRUNC((C84-Paramètres!$B$54+120)/12)-10+1))</f>
        <v>Sol# 5</v>
      </c>
      <c r="C84" s="11" t="n">
        <f aca="false">IF(ISBLANK(D84),"",C83+1)</f>
        <v>72</v>
      </c>
      <c r="D84" s="25" t="n">
        <v>114</v>
      </c>
      <c r="E84" s="6" t="n">
        <v>0.9</v>
      </c>
      <c r="F84" s="6"/>
      <c r="G84" s="25" t="n">
        <v>3</v>
      </c>
      <c r="H84" s="25" t="s">
        <v>73</v>
      </c>
      <c r="I84" s="80" t="n">
        <f aca="false">IF(ISBLANK(D84),"",IF(F84&gt;0,AU84/AT84,AM84))</f>
        <v>0.635801614767762</v>
      </c>
      <c r="J84" s="81" t="str">
        <f aca="false">IF(ISBLANK(D84),"",IF(AQ84,"","]"&amp;AO84&amp;" -- "&amp;AP84&amp;"["))</f>
        <v/>
      </c>
      <c r="K84" s="80" t="n">
        <f aca="false">IF(ISBLANK(D84),"",BA84)</f>
        <v>-0.0500000000000002</v>
      </c>
      <c r="L84" s="82" t="n">
        <f aca="false">IF(ISBLANK(D84),"",IF(F84&gt;0,BF84,BF84))</f>
        <v>0.00684793344272601</v>
      </c>
      <c r="M84" s="80" t="n">
        <f aca="false">IF(ISBLANK(D84),"",IF(F84&gt;0,"-",N84/(2^(1/12)-1)))</f>
        <v>0.172744124313862</v>
      </c>
      <c r="N84" s="83" t="n">
        <f aca="false">IF(ISBLANK(D84),"",IF(F84&gt;0,"-",1.5*L84))</f>
        <v>0.010271900164089</v>
      </c>
      <c r="O84" s="12" t="n">
        <f aca="false">IF(ISBLANK(D84),"",IF(F84&gt;0,AU84,AK84))</f>
        <v>721.475882357717</v>
      </c>
      <c r="P84" s="12" t="n">
        <f aca="false">IF(ISBLANK(D84),"",IF(F84&gt;0,AU84*G84,AL84))</f>
        <v>2164.42764707315</v>
      </c>
      <c r="Q84" s="84" t="n">
        <v>0.7</v>
      </c>
      <c r="R84" s="12" t="n">
        <f aca="false">IF(ISBLANK(D84),"",AT84*Q84)</f>
        <v>794.325</v>
      </c>
      <c r="S84" s="13" t="n">
        <f aca="false">IF(ISBLANK(D84),"",AJ84)</f>
        <v>0.949333732108646</v>
      </c>
      <c r="T84" s="85" t="str">
        <f aca="false">IF(ISBLANK(F84),"",ROUND(S84*10*G84,0)/10/G84)</f>
        <v/>
      </c>
      <c r="U84" s="86" t="str">
        <f aca="false">IF(F84&gt;0,(AJ84-E84)/2,"")</f>
        <v/>
      </c>
      <c r="V84" s="86" t="str">
        <f aca="false">IF(F84&gt;0,AN84,"")</f>
        <v/>
      </c>
      <c r="W84" s="87" t="str">
        <f aca="false">IF(F84&gt;0,IF(U84&lt;Paramètres!$B$5,"!!!",""),"")</f>
        <v/>
      </c>
      <c r="X84" s="88" t="str">
        <f aca="false">IF(U84&lt;&gt;"",IF(U84/3&gt;=Paramètres!$B$5,(S84-E84)/2/3,""),"")</f>
        <v/>
      </c>
      <c r="Y84" s="88" t="str">
        <f aca="false">IF(U84&lt;&gt;"",IF(U84/3&gt;=Paramètres!$B$5,AV84,""),"")</f>
        <v/>
      </c>
      <c r="Z84" s="88" t="str">
        <f aca="false">IF(X84&lt;&gt;"",Y84*2,"")</f>
        <v/>
      </c>
      <c r="AB84" s="1"/>
      <c r="AC84" s="79" t="str">
        <f aca="false">INDEX('Charge de rupture par diamètre'!$C$1:$AC$1,AR84)</f>
        <v>Stephen Paulello France</v>
      </c>
      <c r="AD84" s="13" t="n">
        <f aca="false">IF(ISBLANK(D84),"-",$A$4/16 * 2^((C84-1)/12))</f>
        <v>1661.21879031978</v>
      </c>
      <c r="AE84" s="13" t="n">
        <f aca="false">AG84/(AG$9*SQRT(1+$L84*AG$9^2))</f>
        <v>1661.39095598314</v>
      </c>
      <c r="AF84" s="13" t="n">
        <f aca="false">$AE84*AF$9*SQRT(1+$L84*AF$9^2)</f>
        <v>3367.98284883323</v>
      </c>
      <c r="AG84" s="13" t="n">
        <f aca="false">AF72</f>
        <v>1667.06979783214</v>
      </c>
      <c r="AH84" s="19" t="n">
        <f aca="false">IF(AND(C84&gt;12,F72="",AD84&gt;$A$4),AH72*2*(1+N72),IF(AD84&gt;=$A$4/2,AD84,AD84))</f>
        <v>1667.12364132189</v>
      </c>
      <c r="AI84" s="19" t="n">
        <f aca="false">IF(AND(C84&gt;12,F72="",AD84&gt;$A$4),AH72*2*(1+N72),IF(AD84&gt;=$A$4/2,AD84,AH96/2/(1+N84)))</f>
        <v>1667.12364132189</v>
      </c>
      <c r="AJ84" s="85" t="n">
        <f aca="false">IF(Q84&gt;0,((R84*10^12/PI()/A84^2/D84^2-Paramètres!$B$7*E84^2)*4/PI()/Paramètres!$B$8+E84^2)^0.5,"")</f>
        <v>0.949333732108646</v>
      </c>
      <c r="AK84" s="12" t="n">
        <f aca="false">PI()*Paramètres!$B$7*(E84*A84*D84)^2/10^12</f>
        <v>721.475882357717</v>
      </c>
      <c r="AL84" s="12" t="n">
        <f aca="false">AK84*G84</f>
        <v>2164.42764707315</v>
      </c>
      <c r="AM84" s="80" t="n">
        <f aca="false">AK84/AT84</f>
        <v>0.635801614767762</v>
      </c>
      <c r="AN84" s="85" t="n">
        <f aca="false">(-E84+0.1*Paramètres!$B$7/E84/Paramètres!$B$8/PI()*(AW84^2-E84^2)+(E84^2+3.8*Paramètres!$B$7/Paramètres!$B$8/PI()*(AW84^2-E84^2))^0.5)/2</f>
        <v>0.0247311914615015</v>
      </c>
      <c r="AO84" s="85" t="n">
        <f aca="false">VLOOKUP(C84,Paramètres!$C$30:$F$37,2,1)</f>
        <v>0.55</v>
      </c>
      <c r="AP84" s="85" t="n">
        <f aca="false">VLOOKUP(C84,Paramètres!$C$30:$F$37,4,1)</f>
        <v>0.75</v>
      </c>
      <c r="AQ84" s="11" t="b">
        <f aca="false">AND(I84&gt;=AO84,I84&lt;=AP84)</f>
        <v>1</v>
      </c>
      <c r="AR84" s="12" t="n">
        <f aca="false">HLOOKUP(H84,'Charge de rupture par diamètre'!$D$16:$AC$17,2,0)</f>
        <v>3</v>
      </c>
      <c r="AS84" s="12" t="n">
        <f aca="false">VLOOKUP(E84,'Charge de rupture par diamètre'!$C$16:$AC$53,AR84,1)</f>
        <v>1513</v>
      </c>
      <c r="AT84" s="12" t="n">
        <f aca="false">AS84*Paramètres!$B$9</f>
        <v>1134.75</v>
      </c>
      <c r="AU84" s="79" t="n">
        <f aca="false">PI()*A84^2*D84^2*(Paramètres!$B$7*E84^2+Paramètres!$B$8*PI()/4*(F84^2-E84^2))/10^12</f>
        <v>74.7056067989696</v>
      </c>
      <c r="AV84" s="13" t="n">
        <f aca="false">0.183*(-E84+(E84^2+4*Paramètres!$B$7/PI()/Paramètres!$B$8*(AW84^2-E84^2))^0.5)</f>
        <v>0.00902807297588214</v>
      </c>
      <c r="AW84" s="85" t="n">
        <f aca="false">(R84/PI()/Paramètres!$B$7)^0.5/A84/D84*10^6</f>
        <v>0.944345067291862</v>
      </c>
      <c r="AX84" s="12" t="e">
        <f aca="false">Q84*VLOOKUP(H84,Paramètres!$B$15:$C$18,2,0)*Paramètres!$B$9</f>
        <v>#N/A</v>
      </c>
      <c r="AY84" s="13" t="e">
        <f aca="false">(AX84/PI()/Paramètres!$B$7)^0.5/A84/D84*10^6</f>
        <v>#N/A</v>
      </c>
      <c r="AZ84" s="12" t="n">
        <f aca="false">(IF(F84&gt;0,(F84*F84 -E84*E84)/Paramètres!$B$7*Paramètres!$B$8,0)+E84*E84)*D84*G84</f>
        <v>277.02</v>
      </c>
      <c r="BA84" s="80" t="n">
        <f aca="false">-1+AZ84/AZ83</f>
        <v>-0.0500000000000002</v>
      </c>
      <c r="BB84" s="80" t="n">
        <f aca="false">IF(F84&gt;0,"",0.234*Paramètres!$B$12*10^9*IF(F84&gt;0,E84,E84)^2/Paramètres!$B$7/A84^2/D84^4*10^6)</f>
        <v>0.0103909586514881</v>
      </c>
      <c r="BC84" s="11" t="n">
        <v>2</v>
      </c>
      <c r="BD84" s="80" t="n">
        <f aca="false">BC84*SQRT(1+L84*BC84^2)-BC84</f>
        <v>0.0272066828726705</v>
      </c>
      <c r="BE84" s="11" t="str">
        <f aca="false">IF(F84&gt;0,PI()^2*Paramètres!$B$12*10^9/8/O84*(E84^4+E84^2*F84^2)*10^-12/D84^2/10^-6,"-")</f>
        <v>-</v>
      </c>
      <c r="BF84" s="11" t="n">
        <f aca="false">IF(ISBLANK(D84),"-",PI()^3*E84^4*Paramètres!$B$12*10^9/64/O84/(D84/1000)^2*10^-12)</f>
        <v>0.00684793344272601</v>
      </c>
      <c r="BG84" s="90" t="n">
        <f aca="false">(Paramètres!$B$12*10^9)^0.5/Paramètres!$B$7/2/D84*1000</f>
        <v>251.114147438197</v>
      </c>
    </row>
    <row r="85" customFormat="false" ht="12.8" hidden="false" customHeight="false" outlineLevel="0" collapsed="false">
      <c r="A85" s="79" t="n">
        <f aca="false">IF(ISBLANK(D85),"-",IF(AND($A$6,$A$4/2&lt;AD85),AG85,AD85))</f>
        <v>1766.80545794793</v>
      </c>
      <c r="B85" s="79" t="str">
        <f aca="false">IF(ISBLANK(D85),"",VLOOKUP(MOD(C85-Paramètres!$B$54,12)+1,Paramètres!$B$40:$C$52,2)&amp;" "&amp;(TRUNC((C85-Paramètres!$B$54+120)/12)-10+1))</f>
        <v>La 5</v>
      </c>
      <c r="C85" s="11" t="n">
        <f aca="false">IF(ISBLANK(D85),"",C84+1)</f>
        <v>73</v>
      </c>
      <c r="D85" s="25" t="n">
        <v>107</v>
      </c>
      <c r="E85" s="6" t="n">
        <v>0.9</v>
      </c>
      <c r="F85" s="6"/>
      <c r="G85" s="25" t="n">
        <v>3</v>
      </c>
      <c r="H85" s="25" t="s">
        <v>73</v>
      </c>
      <c r="I85" s="80" t="n">
        <f aca="false">IF(ISBLANK(D85),"",IF(F85&gt;0,AU85/AT85,AM85))</f>
        <v>0.629143011246169</v>
      </c>
      <c r="J85" s="81" t="str">
        <f aca="false">IF(ISBLANK(D85),"",IF(AQ85,"","]"&amp;AO85&amp;" -- "&amp;AP85&amp;"["))</f>
        <v/>
      </c>
      <c r="K85" s="80" t="n">
        <f aca="false">IF(ISBLANK(D85),"",BA85)</f>
        <v>-0.0614035087719298</v>
      </c>
      <c r="L85" s="82" t="n">
        <f aca="false">IF(ISBLANK(D85),"",IF(F85&gt;0,BF85,BF85))</f>
        <v>0.00785550171650569</v>
      </c>
      <c r="M85" s="80" t="n">
        <f aca="false">IF(ISBLANK(D85),"",IF(F85&gt;0,"-",N85/(2^(1/12)-1)))</f>
        <v>0.198160770167127</v>
      </c>
      <c r="N85" s="83" t="n">
        <f aca="false">IF(ISBLANK(D85),"",IF(F85&gt;0,"-",1.5*L85))</f>
        <v>0.0117832525747585</v>
      </c>
      <c r="O85" s="12" t="n">
        <f aca="false">IF(ISBLANK(D85),"",IF(F85&gt;0,AU85,AK85))</f>
        <v>713.92003201159</v>
      </c>
      <c r="P85" s="12" t="n">
        <f aca="false">IF(ISBLANK(D85),"",IF(F85&gt;0,AU85*G85,AL85))</f>
        <v>2141.76009603477</v>
      </c>
      <c r="Q85" s="84" t="n">
        <v>0.7</v>
      </c>
      <c r="R85" s="12" t="n">
        <f aca="false">IF(ISBLANK(D85),"",AT85*Q85)</f>
        <v>794.325</v>
      </c>
      <c r="S85" s="13" t="n">
        <f aca="false">IF(ISBLANK(D85),"",AJ85)</f>
        <v>0.954862841700178</v>
      </c>
      <c r="T85" s="85" t="str">
        <f aca="false">IF(ISBLANK(F85),"",ROUND(S85*10*G85,0)/10/G85)</f>
        <v/>
      </c>
      <c r="U85" s="86" t="str">
        <f aca="false">IF(F85&gt;0,(AJ85-E85)/2,"")</f>
        <v/>
      </c>
      <c r="V85" s="86" t="str">
        <f aca="false">IF(F85&gt;0,AN85,"")</f>
        <v/>
      </c>
      <c r="W85" s="87" t="str">
        <f aca="false">IF(F85&gt;0,IF(U85&lt;Paramètres!$B$5,"!!!",""),"")</f>
        <v/>
      </c>
      <c r="X85" s="88" t="str">
        <f aca="false">IF(U85&lt;&gt;"",IF(U85/3&gt;=Paramètres!$B$5,(S85-E85)/2/3,""),"")</f>
        <v/>
      </c>
      <c r="Y85" s="88" t="str">
        <f aca="false">IF(U85&lt;&gt;"",IF(U85/3&gt;=Paramètres!$B$5,AV85,""),"")</f>
        <v/>
      </c>
      <c r="Z85" s="88" t="str">
        <f aca="false">IF(X85&lt;&gt;"",Y85*2,"")</f>
        <v/>
      </c>
      <c r="AB85" s="1"/>
      <c r="AC85" s="79" t="str">
        <f aca="false">INDEX('Charge de rupture par diamètre'!$C$1:$AC$1,AR85)</f>
        <v>Stephen Paulello France</v>
      </c>
      <c r="AD85" s="13" t="n">
        <f aca="false">IF(ISBLANK(D85),"-",$A$4/16 * 2^((C85-1)/12))</f>
        <v>1760</v>
      </c>
      <c r="AE85" s="13" t="n">
        <f aca="false">AG85/(AG$9*SQRT(1+$L85*AG$9^2))</f>
        <v>1759.90650583779</v>
      </c>
      <c r="AF85" s="13" t="n">
        <f aca="false">$AE85*AF$9*SQRT(1+$L85*AF$9^2)</f>
        <v>3574.68509218243</v>
      </c>
      <c r="AG85" s="13" t="n">
        <f aca="false">AF73</f>
        <v>1766.80545794793</v>
      </c>
      <c r="AH85" s="19" t="n">
        <f aca="false">IF(AND(C85&gt;12,F73="",AD85&gt;$A$4),AH73*2*(1+N73),IF(AD85&gt;=$A$4/2,AD85,AD85))</f>
        <v>1766.82562594412</v>
      </c>
      <c r="AI85" s="19" t="n">
        <f aca="false">IF(AND(C85&gt;12,F73="",AD85&gt;$A$4),AH73*2*(1+N73),IF(AD85&gt;=$A$4/2,AD85,AH97/2/(1+N85)))</f>
        <v>1766.82562594412</v>
      </c>
      <c r="AJ85" s="85" t="n">
        <f aca="false">IF(Q85&gt;0,((R85*10^12/PI()/A85^2/D85^2-Paramètres!$B$7*E85^2)*4/PI()/Paramètres!$B$8+E85^2)^0.5,"")</f>
        <v>0.954862841700178</v>
      </c>
      <c r="AK85" s="12" t="n">
        <f aca="false">PI()*Paramètres!$B$7*(E85*A85*D85)^2/10^12</f>
        <v>713.92003201159</v>
      </c>
      <c r="AL85" s="12" t="n">
        <f aca="false">AK85*G85</f>
        <v>2141.76009603477</v>
      </c>
      <c r="AM85" s="80" t="n">
        <f aca="false">AK85/AT85</f>
        <v>0.629143011246169</v>
      </c>
      <c r="AN85" s="85" t="n">
        <f aca="false">(-E85+0.1*Paramètres!$B$7/E85/Paramètres!$B$8/PI()*(AW85^2-E85^2)+(E85^2+3.8*Paramètres!$B$7/Paramètres!$B$8/PI()*(AW85^2-E85^2))^0.5)/2</f>
        <v>0.0275107643528664</v>
      </c>
      <c r="AO85" s="85" t="n">
        <f aca="false">VLOOKUP(C85,Paramètres!$C$30:$F$37,2,1)</f>
        <v>0.55</v>
      </c>
      <c r="AP85" s="85" t="n">
        <f aca="false">VLOOKUP(C85,Paramètres!$C$30:$F$37,4,1)</f>
        <v>0.75</v>
      </c>
      <c r="AQ85" s="11" t="b">
        <f aca="false">AND(I85&gt;=AO85,I85&lt;=AP85)</f>
        <v>1</v>
      </c>
      <c r="AR85" s="12" t="n">
        <f aca="false">HLOOKUP(H85,'Charge de rupture par diamètre'!$D$16:$AC$17,2,0)</f>
        <v>3</v>
      </c>
      <c r="AS85" s="12" t="n">
        <f aca="false">VLOOKUP(E85,'Charge de rupture par diamètre'!$C$16:$AC$53,AR85,1)</f>
        <v>1513</v>
      </c>
      <c r="AT85" s="12" t="n">
        <f aca="false">AS85*Paramètres!$B$9</f>
        <v>1134.75</v>
      </c>
      <c r="AU85" s="79" t="n">
        <f aca="false">PI()*A85^2*D85^2*(Paramètres!$B$7*E85^2+Paramètres!$B$8*PI()/4*(F85^2-E85^2))/10^12</f>
        <v>73.9232322265237</v>
      </c>
      <c r="AV85" s="13" t="n">
        <f aca="false">0.183*(-E85+(E85^2+4*Paramètres!$B$7/PI()/Paramètres!$B$8*(AW85^2-E85^2))^0.5)</f>
        <v>0.0100399000311326</v>
      </c>
      <c r="AW85" s="85" t="n">
        <f aca="false">(R85/PI()/Paramètres!$B$7)^0.5/A85/D85*10^6</f>
        <v>0.949329203854147</v>
      </c>
      <c r="AX85" s="12" t="e">
        <f aca="false">Q85*VLOOKUP(H85,Paramètres!$B$15:$C$18,2,0)*Paramètres!$B$9</f>
        <v>#N/A</v>
      </c>
      <c r="AY85" s="13" t="e">
        <f aca="false">(AX85/PI()/Paramètres!$B$7)^0.5/A85/D85*10^6</f>
        <v>#N/A</v>
      </c>
      <c r="AZ85" s="12" t="n">
        <f aca="false">(IF(F85&gt;0,(F85*F85 -E85*E85)/Paramètres!$B$7*Paramètres!$B$8,0)+E85*E85)*D85*G85</f>
        <v>260.01</v>
      </c>
      <c r="BA85" s="80" t="n">
        <f aca="false">-1+AZ85/AZ84</f>
        <v>-0.0614035087719298</v>
      </c>
      <c r="BB85" s="80" t="n">
        <f aca="false">IF(F85&gt;0,"",0.234*Paramètres!$B$12*10^9*IF(F85&gt;0,E85,E85)^2/Paramètres!$B$7/A85^2/D85^4*10^6)</f>
        <v>0.0119198286907431</v>
      </c>
      <c r="BC85" s="11" t="n">
        <v>2</v>
      </c>
      <c r="BD85" s="80" t="n">
        <f aca="false">BC85*SQRT(1+L85*BC85^2)-BC85</f>
        <v>0.0311789747494164</v>
      </c>
      <c r="BE85" s="11" t="str">
        <f aca="false">IF(F85&gt;0,PI()^2*Paramètres!$B$12*10^9/8/O85*(E85^4+E85^2*F85^2)*10^-12/D85^2/10^-6,"-")</f>
        <v>-</v>
      </c>
      <c r="BF85" s="11" t="n">
        <f aca="false">IF(ISBLANK(D85),"-",PI()^3*E85^4*Paramètres!$B$12*10^9/64/O85/(D85/1000)^2*10^-12)</f>
        <v>0.00785550171650569</v>
      </c>
      <c r="BG85" s="90" t="n">
        <f aca="false">(Paramètres!$B$12*10^9)^0.5/Paramètres!$B$7/2/D85*1000</f>
        <v>267.542175775275</v>
      </c>
    </row>
    <row r="86" customFormat="false" ht="12.8" hidden="false" customHeight="false" outlineLevel="0" collapsed="false">
      <c r="A86" s="79" t="n">
        <f aca="false">IF(ISBLANK(D86),"-",IF(AND($A$6,$A$4/2&lt;AD86),AG86,AD86))</f>
        <v>1872.78650258704</v>
      </c>
      <c r="B86" s="79" t="str">
        <f aca="false">IF(ISBLANK(D86),"",VLOOKUP(MOD(C86-Paramètres!$B$54,12)+1,Paramètres!$B$40:$C$52,2)&amp;" "&amp;(TRUNC((C86-Paramètres!$B$54+120)/12)-10+1))</f>
        <v>La# 5</v>
      </c>
      <c r="C86" s="11" t="n">
        <f aca="false">IF(ISBLANK(D86),"",C85+1)</f>
        <v>74</v>
      </c>
      <c r="D86" s="25" t="n">
        <v>102</v>
      </c>
      <c r="E86" s="6" t="n">
        <v>0.85</v>
      </c>
      <c r="F86" s="6"/>
      <c r="G86" s="25" t="n">
        <v>3</v>
      </c>
      <c r="H86" s="25" t="s">
        <v>73</v>
      </c>
      <c r="I86" s="80" t="n">
        <f aca="false">IF(ISBLANK(D86),"",IF(F86&gt;0,AU86/AT86,AM86))</f>
        <v>0.636963984801808</v>
      </c>
      <c r="J86" s="81" t="str">
        <f aca="false">IF(ISBLANK(D86),"",IF(AQ86,"","]"&amp;AO86&amp;" -- "&amp;AP86&amp;"["))</f>
        <v/>
      </c>
      <c r="K86" s="80" t="n">
        <f aca="false">IF(ISBLANK(D86),"",BA86)</f>
        <v>-0.149705780546902</v>
      </c>
      <c r="L86" s="82" t="n">
        <f aca="false">IF(ISBLANK(D86),"",IF(F86&gt;0,BF86,BF86))</f>
        <v>0.00755200218806018</v>
      </c>
      <c r="M86" s="80" t="n">
        <f aca="false">IF(ISBLANK(D86),"",IF(F86&gt;0,"-",N86/(2^(1/12)-1)))</f>
        <v>0.190504772819975</v>
      </c>
      <c r="N86" s="83" t="n">
        <f aca="false">IF(ISBLANK(D86),"",IF(F86&gt;0,"-",1.5*L86))</f>
        <v>0.0113280032820903</v>
      </c>
      <c r="O86" s="12" t="n">
        <f aca="false">IF(ISBLANK(D86),"",IF(F86&gt;0,AU86,AK86))</f>
        <v>650.180987486446</v>
      </c>
      <c r="P86" s="12" t="n">
        <f aca="false">IF(ISBLANK(D86),"",IF(F86&gt;0,AU86*G86,AL86))</f>
        <v>1950.54296245934</v>
      </c>
      <c r="Q86" s="84" t="n">
        <v>0.75</v>
      </c>
      <c r="R86" s="12" t="n">
        <f aca="false">IF(ISBLANK(D86),"",AT86*Q86)</f>
        <v>765.5625</v>
      </c>
      <c r="S86" s="13" t="n">
        <f aca="false">IF(ISBLANK(D86),"",AJ86)</f>
        <v>0.930335894041105</v>
      </c>
      <c r="T86" s="85" t="str">
        <f aca="false">IF(ISBLANK(F86),"",ROUND(S86*10*G86,0)/10/G86)</f>
        <v/>
      </c>
      <c r="U86" s="86" t="str">
        <f aca="false">IF(F86&gt;0,(AJ86-E86)/2,"")</f>
        <v/>
      </c>
      <c r="V86" s="86" t="str">
        <f aca="false">IF(F86&gt;0,AN86,"")</f>
        <v/>
      </c>
      <c r="W86" s="87" t="str">
        <f aca="false">IF(F86&gt;0,IF(U86&lt;Paramètres!$B$5,"!!!",""),"")</f>
        <v/>
      </c>
      <c r="X86" s="88" t="str">
        <f aca="false">IF(U86&lt;&gt;"",IF(U86/3&gt;=Paramètres!$B$5,(S86-E86)/2/3,""),"")</f>
        <v/>
      </c>
      <c r="Y86" s="88" t="str">
        <f aca="false">IF(U86&lt;&gt;"",IF(U86/3&gt;=Paramètres!$B$5,AV86,""),"")</f>
        <v/>
      </c>
      <c r="Z86" s="88" t="str">
        <f aca="false">IF(X86&lt;&gt;"",Y86*2,"")</f>
        <v/>
      </c>
      <c r="AB86" s="1"/>
      <c r="AC86" s="79" t="str">
        <f aca="false">INDEX('Charge de rupture par diamètre'!$C$1:$AC$1,AR86)</f>
        <v>Stephen Paulello France</v>
      </c>
      <c r="AD86" s="13" t="n">
        <f aca="false">IF(ISBLANK(D86),"-",$A$4/16 * 2^((C86-1)/12))</f>
        <v>1864.65504607236</v>
      </c>
      <c r="AE86" s="13" t="n">
        <f aca="false">AG86/(AG$9*SQRT(1+$L86*AG$9^2))</f>
        <v>1865.75466208939</v>
      </c>
      <c r="AF86" s="13" t="n">
        <f aca="false">$AE86*AF$9*SQRT(1+$L86*AF$9^2)</f>
        <v>3787.45073090803</v>
      </c>
      <c r="AG86" s="13" t="n">
        <f aca="false">AF74</f>
        <v>1872.78650258704</v>
      </c>
      <c r="AH86" s="19" t="n">
        <f aca="false">IF(AND(C86&gt;12,F74="",AD86&gt;$A$4),AH74*2*(1+N74),IF(AD86&gt;=$A$4/2,AD86,AD86))</f>
        <v>1873.28092354857</v>
      </c>
      <c r="AI86" s="19" t="n">
        <f aca="false">IF(AND(C86&gt;12,F74="",AD86&gt;$A$4),AH74*2*(1+N74),IF(AD86&gt;=$A$4/2,AD86,AH98/2/(1+N86)))</f>
        <v>1873.28092354857</v>
      </c>
      <c r="AJ86" s="85" t="n">
        <f aca="false">IF(Q86&gt;0,((R86*10^12/PI()/A86^2/D86^2-Paramètres!$B$7*E86^2)*4/PI()/Paramètres!$B$8+E86^2)^0.5,"")</f>
        <v>0.930335894041105</v>
      </c>
      <c r="AK86" s="12" t="n">
        <f aca="false">PI()*Paramètres!$B$7*(E86*A86*D86)^2/10^12</f>
        <v>650.180987486446</v>
      </c>
      <c r="AL86" s="12" t="n">
        <f aca="false">AK86*G86</f>
        <v>1950.54296245934</v>
      </c>
      <c r="AM86" s="80" t="n">
        <f aca="false">AK86/AT86</f>
        <v>0.636963984801808</v>
      </c>
      <c r="AN86" s="85" t="n">
        <f aca="false">(-E86+0.1*Paramètres!$B$7/E86/Paramètres!$B$8/PI()*(AW86^2-E86^2)+(E86^2+3.8*Paramètres!$B$7/Paramètres!$B$8/PI()*(AW86^2-E86^2))^0.5)/2</f>
        <v>0.0403455848471589</v>
      </c>
      <c r="AO86" s="85" t="n">
        <f aca="false">VLOOKUP(C86,Paramètres!$C$30:$F$37,2,1)</f>
        <v>0.6</v>
      </c>
      <c r="AP86" s="85" t="n">
        <f aca="false">VLOOKUP(C86,Paramètres!$C$30:$F$37,4,1)</f>
        <v>0.8</v>
      </c>
      <c r="AQ86" s="11" t="b">
        <f aca="false">AND(I86&gt;=AO86,I86&lt;=AP86)</f>
        <v>1</v>
      </c>
      <c r="AR86" s="12" t="n">
        <f aca="false">HLOOKUP(H86,'Charge de rupture par diamètre'!$D$16:$AC$17,2,0)</f>
        <v>3</v>
      </c>
      <c r="AS86" s="12" t="n">
        <f aca="false">VLOOKUP(E86,'Charge de rupture par diamètre'!$C$16:$AC$53,AR86,1)</f>
        <v>1361</v>
      </c>
      <c r="AT86" s="12" t="n">
        <f aca="false">AS86*Paramètres!$B$9</f>
        <v>1020.75</v>
      </c>
      <c r="AU86" s="79" t="n">
        <f aca="false">PI()*A86^2*D86^2*(Paramètres!$B$7*E86^2+Paramètres!$B$8*PI()/4*(F86^2-E86^2))/10^12</f>
        <v>67.3233387103652</v>
      </c>
      <c r="AV86" s="13" t="n">
        <f aca="false">0.183*(-E86+(E86^2+4*Paramètres!$B$7/PI()/Paramètres!$B$8*(AW86^2-E86^2))^0.5)</f>
        <v>0.0147014686095221</v>
      </c>
      <c r="AW86" s="85" t="n">
        <f aca="false">(R86/PI()/Paramètres!$B$7)^0.5/A86/D86*10^6</f>
        <v>0.922342283727251</v>
      </c>
      <c r="AX86" s="12" t="e">
        <f aca="false">Q86*VLOOKUP(H86,Paramètres!$B$15:$C$18,2,0)*Paramètres!$B$9</f>
        <v>#N/A</v>
      </c>
      <c r="AY86" s="13" t="e">
        <f aca="false">(AX86/PI()/Paramètres!$B$7)^0.5/A86/D86*10^6</f>
        <v>#N/A</v>
      </c>
      <c r="AZ86" s="12" t="n">
        <f aca="false">(IF(F86&gt;0,(F86*F86 -E86*E86)/Paramètres!$B$7*Paramètres!$B$8,0)+E86*E86)*D86*G86</f>
        <v>221.085</v>
      </c>
      <c r="BA86" s="80" t="n">
        <f aca="false">-1+AZ86/AZ85</f>
        <v>-0.149705780546902</v>
      </c>
      <c r="BB86" s="80" t="n">
        <f aca="false">IF(F86&gt;0,"",0.234*Paramètres!$B$12*10^9*IF(F86&gt;0,E86,E86)^2/Paramètres!$B$7/A86^2/D86^4*10^6)</f>
        <v>0.0114593027412432</v>
      </c>
      <c r="BC86" s="11" t="n">
        <v>2</v>
      </c>
      <c r="BD86" s="80" t="n">
        <f aca="false">BC86*SQRT(1+L86*BC86^2)-BC86</f>
        <v>0.0299832597854008</v>
      </c>
      <c r="BE86" s="11" t="str">
        <f aca="false">IF(F86&gt;0,PI()^2*Paramètres!$B$12*10^9/8/O86*(E86^4+E86^2*F86^2)*10^-12/D86^2/10^-6,"-")</f>
        <v>-</v>
      </c>
      <c r="BF86" s="11" t="n">
        <f aca="false">IF(ISBLANK(D86),"-",PI()^3*E86^4*Paramètres!$B$12*10^9/64/O86/(D86/1000)^2*10^-12)</f>
        <v>0.00755200218806018</v>
      </c>
      <c r="BG86" s="90" t="n">
        <f aca="false">(Paramètres!$B$12*10^9)^0.5/Paramètres!$B$7/2/D86*1000</f>
        <v>280.656988313279</v>
      </c>
    </row>
    <row r="87" customFormat="false" ht="12.8" hidden="false" customHeight="false" outlineLevel="0" collapsed="false">
      <c r="A87" s="79" t="n">
        <f aca="false">IF(ISBLANK(D87),"-",IF(AND($A$6,$A$4/2&lt;AD87),AG87,AD87))</f>
        <v>1985.07419812003</v>
      </c>
      <c r="B87" s="79" t="str">
        <f aca="false">IF(ISBLANK(D87),"",VLOOKUP(MOD(C87-Paramètres!$B$54,12)+1,Paramètres!$B$40:$C$52,2)&amp;" "&amp;(TRUNC((C87-Paramètres!$B$54+120)/12)-10+1))</f>
        <v>Si 5</v>
      </c>
      <c r="C87" s="11" t="n">
        <f aca="false">IF(ISBLANK(D87),"",C86+1)</f>
        <v>75</v>
      </c>
      <c r="D87" s="25" t="n">
        <v>96</v>
      </c>
      <c r="E87" s="6" t="n">
        <v>0.85</v>
      </c>
      <c r="F87" s="6"/>
      <c r="G87" s="25" t="n">
        <v>3</v>
      </c>
      <c r="H87" s="25" t="s">
        <v>73</v>
      </c>
      <c r="I87" s="80" t="n">
        <f aca="false">IF(ISBLANK(D87),"",IF(F87&gt;0,AU87/AT87,AM87))</f>
        <v>0.633919260574719</v>
      </c>
      <c r="J87" s="81" t="str">
        <f aca="false">IF(ISBLANK(D87),"",IF(AQ87,"","]"&amp;AO87&amp;" -- "&amp;AP87&amp;"["))</f>
        <v/>
      </c>
      <c r="K87" s="80" t="n">
        <f aca="false">IF(ISBLANK(D87),"",BA87)</f>
        <v>-0.0588235294117648</v>
      </c>
      <c r="L87" s="82" t="n">
        <f aca="false">IF(ISBLANK(D87),"",IF(F87&gt;0,BF87,BF87))</f>
        <v>0.008566450593217</v>
      </c>
      <c r="M87" s="80" t="n">
        <f aca="false">IF(ISBLANK(D87),"",IF(F87&gt;0,"-",N87/(2^(1/12)-1)))</f>
        <v>0.216094975013974</v>
      </c>
      <c r="N87" s="83" t="n">
        <f aca="false">IF(ISBLANK(D87),"",IF(F87&gt;0,"-",1.5*L87))</f>
        <v>0.0128496758898255</v>
      </c>
      <c r="O87" s="12" t="n">
        <f aca="false">IF(ISBLANK(D87),"",IF(F87&gt;0,AU87,AK87))</f>
        <v>647.073085231645</v>
      </c>
      <c r="P87" s="12" t="n">
        <f aca="false">IF(ISBLANK(D87),"",IF(F87&gt;0,AU87*G87,AL87))</f>
        <v>1941.21925569493</v>
      </c>
      <c r="Q87" s="84" t="n">
        <v>0.75</v>
      </c>
      <c r="R87" s="12" t="n">
        <f aca="false">IF(ISBLANK(D87),"",AT87*Q87)</f>
        <v>765.5625</v>
      </c>
      <c r="S87" s="13" t="n">
        <f aca="false">IF(ISBLANK(D87),"",AJ87)</f>
        <v>0.932782306110757</v>
      </c>
      <c r="T87" s="85" t="str">
        <f aca="false">IF(ISBLANK(F87),"",ROUND(S87*10*G87,0)/10/G87)</f>
        <v/>
      </c>
      <c r="U87" s="86" t="str">
        <f aca="false">IF(F87&gt;0,(AJ87-E87)/2,"")</f>
        <v/>
      </c>
      <c r="V87" s="86" t="str">
        <f aca="false">IF(F87&gt;0,AN87,"")</f>
        <v/>
      </c>
      <c r="W87" s="87" t="str">
        <f aca="false">IF(F87&gt;0,IF(U87&lt;Paramètres!$B$5,"!!!",""),"")</f>
        <v/>
      </c>
      <c r="X87" s="88" t="str">
        <f aca="false">IF(U87&lt;&gt;"",IF(U87/3&gt;=Paramètres!$B$5,(S87-E87)/2/3,""),"")</f>
        <v/>
      </c>
      <c r="Y87" s="88" t="str">
        <f aca="false">IF(U87&lt;&gt;"",IF(U87/3&gt;=Paramètres!$B$5,AV87,""),"")</f>
        <v/>
      </c>
      <c r="Z87" s="88" t="str">
        <f aca="false">IF(X87&lt;&gt;"",Y87*2,"")</f>
        <v/>
      </c>
      <c r="AB87" s="1"/>
      <c r="AC87" s="79" t="str">
        <f aca="false">INDEX('Charge de rupture par diamètre'!$C$1:$AC$1,AR87)</f>
        <v>Stephen Paulello France</v>
      </c>
      <c r="AD87" s="13" t="n">
        <f aca="false">IF(ISBLANK(D87),"-",$A$4/16 * 2^((C87-1)/12))</f>
        <v>1975.5332050245</v>
      </c>
      <c r="AE87" s="13" t="n">
        <f aca="false">AG87/(AG$9*SQRT(1+$L87*AG$9^2))</f>
        <v>1976.62591834448</v>
      </c>
      <c r="AF87" s="13" t="n">
        <f aca="false">$AE87*AF$9*SQRT(1+$L87*AF$9^2)</f>
        <v>4020.41203110033</v>
      </c>
      <c r="AG87" s="13" t="n">
        <f aca="false">AF75</f>
        <v>1985.07419812003</v>
      </c>
      <c r="AH87" s="19" t="n">
        <f aca="false">IF(AND(C87&gt;12,F75="",AD87&gt;$A$4),AH75*2*(1+N75),IF(AD87&gt;=$A$4/2,AD87,AD87))</f>
        <v>1985.55885991765</v>
      </c>
      <c r="AI87" s="19" t="n">
        <f aca="false">IF(AND(C87&gt;12,F75="",AD87&gt;$A$4),AH75*2*(1+N75),IF(AD87&gt;=$A$4/2,AD87,AH99/2/(1+N87)))</f>
        <v>1985.55885991765</v>
      </c>
      <c r="AJ87" s="85" t="n">
        <f aca="false">IF(Q87&gt;0,((R87*10^12/PI()/A87^2/D87^2-Paramètres!$B$7*E87^2)*4/PI()/Paramètres!$B$8+E87^2)^0.5,"")</f>
        <v>0.932782306110757</v>
      </c>
      <c r="AK87" s="12" t="n">
        <f aca="false">PI()*Paramètres!$B$7*(E87*A87*D87)^2/10^12</f>
        <v>647.073085231645</v>
      </c>
      <c r="AL87" s="12" t="n">
        <f aca="false">AK87*G87</f>
        <v>1941.21925569493</v>
      </c>
      <c r="AM87" s="80" t="n">
        <f aca="false">AK87/AT87</f>
        <v>0.633919260574719</v>
      </c>
      <c r="AN87" s="85" t="n">
        <f aca="false">(-E87+0.1*Paramètres!$B$7/E87/Paramètres!$B$8/PI()*(AW87^2-E87^2)+(E87^2+3.8*Paramètres!$B$7/Paramètres!$B$8/PI()*(AW87^2-E87^2))^0.5)/2</f>
        <v>0.0415795542850694</v>
      </c>
      <c r="AO87" s="85" t="n">
        <f aca="false">VLOOKUP(C87,Paramètres!$C$30:$F$37,2,1)</f>
        <v>0.6</v>
      </c>
      <c r="AP87" s="85" t="n">
        <f aca="false">VLOOKUP(C87,Paramètres!$C$30:$F$37,4,1)</f>
        <v>0.8</v>
      </c>
      <c r="AQ87" s="11" t="b">
        <f aca="false">AND(I87&gt;=AO87,I87&lt;=AP87)</f>
        <v>1</v>
      </c>
      <c r="AR87" s="12" t="n">
        <f aca="false">HLOOKUP(H87,'Charge de rupture par diamètre'!$D$16:$AC$17,2,0)</f>
        <v>3</v>
      </c>
      <c r="AS87" s="12" t="n">
        <f aca="false">VLOOKUP(E87,'Charge de rupture par diamètre'!$C$16:$AC$53,AR87,1)</f>
        <v>1361</v>
      </c>
      <c r="AT87" s="12" t="n">
        <f aca="false">AS87*Paramètres!$B$9</f>
        <v>1020.75</v>
      </c>
      <c r="AU87" s="79" t="n">
        <f aca="false">PI()*A87^2*D87^2*(Paramètres!$B$7*E87^2+Paramètres!$B$8*PI()/4*(F87^2-E87^2))/10^12</f>
        <v>67.001529306206</v>
      </c>
      <c r="AV87" s="13" t="n">
        <f aca="false">0.183*(-E87+(E87^2+4*Paramètres!$B$7/PI()/Paramètres!$B$8*(AW87^2-E87^2))^0.5)</f>
        <v>0.0151491620182684</v>
      </c>
      <c r="AW87" s="85" t="n">
        <f aca="false">(R87/PI()/Paramètres!$B$7)^0.5/A87/D87*10^6</f>
        <v>0.924554642693429</v>
      </c>
      <c r="AX87" s="12" t="e">
        <f aca="false">Q87*VLOOKUP(H87,Paramètres!$B$15:$C$18,2,0)*Paramètres!$B$9</f>
        <v>#N/A</v>
      </c>
      <c r="AY87" s="13" t="e">
        <f aca="false">(AX87/PI()/Paramètres!$B$7)^0.5/A87/D87*10^6</f>
        <v>#N/A</v>
      </c>
      <c r="AZ87" s="12" t="n">
        <f aca="false">(IF(F87&gt;0,(F87*F87 -E87*E87)/Paramètres!$B$7*Paramètres!$B$8,0)+E87*E87)*D87*G87</f>
        <v>208.08</v>
      </c>
      <c r="BA87" s="80" t="n">
        <f aca="false">-1+AZ87/AZ86</f>
        <v>-0.0588235294117648</v>
      </c>
      <c r="BB87" s="80" t="n">
        <f aca="false">IF(F87&gt;0,"",0.234*Paramètres!$B$12*10^9*IF(F87&gt;0,E87,E87)^2/Paramètres!$B$7/A87^2/D87^4*10^6)</f>
        <v>0.0129986125958461</v>
      </c>
      <c r="BC87" s="11" t="n">
        <v>2</v>
      </c>
      <c r="BD87" s="80" t="n">
        <f aca="false">BC87*SQRT(1+L87*BC87^2)-BC87</f>
        <v>0.03397719001258</v>
      </c>
      <c r="BE87" s="11" t="str">
        <f aca="false">IF(F87&gt;0,PI()^2*Paramètres!$B$12*10^9/8/O87*(E87^4+E87^2*F87^2)*10^-12/D87^2/10^-6,"-")</f>
        <v>-</v>
      </c>
      <c r="BF87" s="11" t="n">
        <f aca="false">IF(ISBLANK(D87),"-",PI()^3*E87^4*Paramètres!$B$12*10^9/64/O87/(D87/1000)^2*10^-12)</f>
        <v>0.008566450593217</v>
      </c>
      <c r="BG87" s="90" t="n">
        <f aca="false">(Paramètres!$B$12*10^9)^0.5/Paramètres!$B$7/2/D87*1000</f>
        <v>298.198050082859</v>
      </c>
    </row>
    <row r="88" customFormat="false" ht="12.8" hidden="false" customHeight="false" outlineLevel="0" collapsed="false">
      <c r="A88" s="79" t="n">
        <f aca="false">IF(ISBLANK(D88),"-",IF(AND($A$6,$A$4/2&lt;AD88),AG88,AD88))</f>
        <v>2104.06210774751</v>
      </c>
      <c r="B88" s="79" t="str">
        <f aca="false">IF(ISBLANK(D88),"",VLOOKUP(MOD(C88-Paramètres!$B$54,12)+1,Paramètres!$B$40:$C$52,2)&amp;" "&amp;(TRUNC((C88-Paramètres!$B$54+120)/12)-10+1))</f>
        <v>Do 6</v>
      </c>
      <c r="C88" s="11" t="n">
        <f aca="false">IF(ISBLANK(D88),"",C87+1)</f>
        <v>76</v>
      </c>
      <c r="D88" s="25" t="n">
        <v>90</v>
      </c>
      <c r="E88" s="6" t="n">
        <v>0.85</v>
      </c>
      <c r="F88" s="6"/>
      <c r="G88" s="25" t="n">
        <v>3</v>
      </c>
      <c r="H88" s="25" t="s">
        <v>73</v>
      </c>
      <c r="I88" s="80" t="n">
        <f aca="false">IF(ISBLANK(D88),"",IF(F88&gt;0,AU88/AT88,AM88))</f>
        <v>0.625950688586521</v>
      </c>
      <c r="J88" s="81" t="str">
        <f aca="false">IF(ISBLANK(D88),"",IF(AQ88,"","]"&amp;AO88&amp;" -- "&amp;AP88&amp;"["))</f>
        <v/>
      </c>
      <c r="K88" s="80" t="n">
        <f aca="false">IF(ISBLANK(D88),"",BA88)</f>
        <v>-0.0624999999999999</v>
      </c>
      <c r="L88" s="82" t="n">
        <f aca="false">IF(ISBLANK(D88),"",IF(F88&gt;0,BF88,BF88))</f>
        <v>0.00987079624963603</v>
      </c>
      <c r="M88" s="80" t="n">
        <f aca="false">IF(ISBLANK(D88),"",IF(F88&gt;0,"-",N88/(2^(1/12)-1)))</f>
        <v>0.248998047175114</v>
      </c>
      <c r="N88" s="83" t="n">
        <f aca="false">IF(ISBLANK(D88),"",IF(F88&gt;0,"-",1.5*L88))</f>
        <v>0.0148061943744541</v>
      </c>
      <c r="O88" s="12" t="n">
        <f aca="false">IF(ISBLANK(D88),"",IF(F88&gt;0,AU88,AK88))</f>
        <v>638.939165374692</v>
      </c>
      <c r="P88" s="12" t="n">
        <f aca="false">IF(ISBLANK(D88),"",IF(F88&gt;0,AU88*G88,AL88))</f>
        <v>1916.81749612408</v>
      </c>
      <c r="Q88" s="84" t="n">
        <v>0.75</v>
      </c>
      <c r="R88" s="12" t="n">
        <f aca="false">IF(ISBLANK(D88),"",AT88*Q88)</f>
        <v>765.5625</v>
      </c>
      <c r="S88" s="13" t="n">
        <f aca="false">IF(ISBLANK(D88),"",AJ88)</f>
        <v>0.939266561785667</v>
      </c>
      <c r="T88" s="85" t="str">
        <f aca="false">IF(ISBLANK(F88),"",ROUND(S88*10*G88,0)/10/G88)</f>
        <v/>
      </c>
      <c r="U88" s="86" t="str">
        <f aca="false">IF(F88&gt;0,(AJ88-E88)/2,"")</f>
        <v/>
      </c>
      <c r="V88" s="86" t="str">
        <f aca="false">IF(F88&gt;0,AN88,"")</f>
        <v/>
      </c>
      <c r="W88" s="87" t="str">
        <f aca="false">IF(F88&gt;0,IF(U88&lt;Paramètres!$B$5,"!!!",""),"")</f>
        <v/>
      </c>
      <c r="X88" s="88" t="str">
        <f aca="false">IF(U88&lt;&gt;"",IF(U88/3&gt;=Paramètres!$B$5,(S88-E88)/2/3,""),"")</f>
        <v/>
      </c>
      <c r="Y88" s="88" t="str">
        <f aca="false">IF(U88&lt;&gt;"",IF(U88/3&gt;=Paramètres!$B$5,AV88,""),"")</f>
        <v/>
      </c>
      <c r="Z88" s="88" t="str">
        <f aca="false">IF(X88&lt;&gt;"",Y88*2,"")</f>
        <v/>
      </c>
      <c r="AB88" s="1"/>
      <c r="AC88" s="79" t="str">
        <f aca="false">INDEX('Charge de rupture par diamètre'!$C$1:$AC$1,AR88)</f>
        <v>Stephen Paulello France</v>
      </c>
      <c r="AD88" s="13" t="n">
        <f aca="false">IF(ISBLANK(D88),"-",$A$4/16 * 2^((C88-1)/12))</f>
        <v>2093.00452240479</v>
      </c>
      <c r="AE88" s="13" t="n">
        <f aca="false">AG88/(AG$9*SQRT(1+$L88*AG$9^2))</f>
        <v>2093.75397322425</v>
      </c>
      <c r="AF88" s="13" t="n">
        <f aca="false">$AE88*AF$9*SQRT(1+$L88*AF$9^2)</f>
        <v>4269.37574446598</v>
      </c>
      <c r="AG88" s="13" t="n">
        <f aca="false">AF76</f>
        <v>2104.06210774751</v>
      </c>
      <c r="AH88" s="19" t="n">
        <f aca="false">IF(AND(C88&gt;12,F76="",AD88&gt;$A$4),AH76*2*(1+N76),IF(AD88&gt;=$A$4/2,AD88,AD88))</f>
        <v>2104.53430445711</v>
      </c>
      <c r="AI88" s="19" t="n">
        <f aca="false">IF(AND(C88&gt;12,F76="",AD88&gt;$A$4),AH76*2*(1+N76),IF(AD88&gt;=$A$4/2,AD88,AH100/2/(1+N88)))</f>
        <v>2104.53430445711</v>
      </c>
      <c r="AJ88" s="85" t="n">
        <f aca="false">IF(Q88&gt;0,((R88*10^12/PI()/A88^2/D88^2-Paramètres!$B$7*E88^2)*4/PI()/Paramètres!$B$8+E88^2)^0.5,"")</f>
        <v>0.939266561785667</v>
      </c>
      <c r="AK88" s="12" t="n">
        <f aca="false">PI()*Paramètres!$B$7*(E88*A88*D88)^2/10^12</f>
        <v>638.939165374692</v>
      </c>
      <c r="AL88" s="12" t="n">
        <f aca="false">AK88*G88</f>
        <v>1916.81749612408</v>
      </c>
      <c r="AM88" s="80" t="n">
        <f aca="false">AK88/AT88</f>
        <v>0.625950688586521</v>
      </c>
      <c r="AN88" s="85" t="n">
        <f aca="false">(-E88+0.1*Paramètres!$B$7/E88/Paramètres!$B$8/PI()*(AW88^2-E88^2)+(E88^2+3.8*Paramètres!$B$7/Paramètres!$B$8/PI()*(AW88^2-E88^2))^0.5)/2</f>
        <v>0.0448516797933258</v>
      </c>
      <c r="AO88" s="85" t="n">
        <f aca="false">VLOOKUP(C88,Paramètres!$C$30:$F$37,2,1)</f>
        <v>0.6</v>
      </c>
      <c r="AP88" s="85" t="n">
        <f aca="false">VLOOKUP(C88,Paramètres!$C$30:$F$37,4,1)</f>
        <v>0.8</v>
      </c>
      <c r="AQ88" s="11" t="b">
        <f aca="false">AND(I88&gt;=AO88,I88&lt;=AP88)</f>
        <v>1</v>
      </c>
      <c r="AR88" s="12" t="n">
        <f aca="false">HLOOKUP(H88,'Charge de rupture par diamètre'!$D$16:$AC$17,2,0)</f>
        <v>3</v>
      </c>
      <c r="AS88" s="12" t="n">
        <f aca="false">VLOOKUP(E88,'Charge de rupture par diamètre'!$C$16:$AC$53,AR88,1)</f>
        <v>1361</v>
      </c>
      <c r="AT88" s="12" t="n">
        <f aca="false">AS88*Paramètres!$B$9</f>
        <v>1020.75</v>
      </c>
      <c r="AU88" s="79" t="n">
        <f aca="false">PI()*A88^2*D88^2*(Paramètres!$B$7*E88^2+Paramètres!$B$8*PI()/4*(F88^2-E88^2))/10^12</f>
        <v>66.1592982165372</v>
      </c>
      <c r="AV88" s="13" t="n">
        <f aca="false">0.183*(-E88+(E88^2+4*Paramètres!$B$7/PI()/Paramètres!$B$8*(AW88^2-E88^2))^0.5)</f>
        <v>0.016335780806777</v>
      </c>
      <c r="AW88" s="85" t="n">
        <f aca="false">(R88/PI()/Paramètres!$B$7)^0.5/A88/D88*10^6</f>
        <v>0.930420984161326</v>
      </c>
      <c r="AX88" s="12" t="e">
        <f aca="false">Q88*VLOOKUP(H88,Paramètres!$B$15:$C$18,2,0)*Paramètres!$B$9</f>
        <v>#N/A</v>
      </c>
      <c r="AY88" s="13" t="e">
        <f aca="false">(AX88/PI()/Paramètres!$B$7)^0.5/A88/D88*10^6</f>
        <v>#N/A</v>
      </c>
      <c r="AZ88" s="12" t="n">
        <f aca="false">(IF(F88&gt;0,(F88*F88 -E88*E88)/Paramètres!$B$7*Paramètres!$B$8,0)+E88*E88)*D88*G88</f>
        <v>195.075</v>
      </c>
      <c r="BA88" s="80" t="n">
        <f aca="false">-1+AZ88/AZ87</f>
        <v>-0.0624999999999999</v>
      </c>
      <c r="BB88" s="80" t="n">
        <f aca="false">IF(F88&gt;0,"",0.234*Paramètres!$B$12*10^9*IF(F88&gt;0,E88,E88)^2/Paramètres!$B$7/A88^2/D88^4*10^6)</f>
        <v>0.0149778084943539</v>
      </c>
      <c r="BC88" s="11" t="n">
        <v>2</v>
      </c>
      <c r="BD88" s="80" t="n">
        <f aca="false">BC88*SQRT(1+L88*BC88^2)-BC88</f>
        <v>0.0391009636587829</v>
      </c>
      <c r="BE88" s="11" t="str">
        <f aca="false">IF(F88&gt;0,PI()^2*Paramètres!$B$12*10^9/8/O88*(E88^4+E88^2*F88^2)*10^-12/D88^2/10^-6,"-")</f>
        <v>-</v>
      </c>
      <c r="BF88" s="11" t="n">
        <f aca="false">IF(ISBLANK(D88),"-",PI()^3*E88^4*Paramètres!$B$12*10^9/64/O88/(D88/1000)^2*10^-12)</f>
        <v>0.00987079624963603</v>
      </c>
      <c r="BG88" s="90" t="n">
        <f aca="false">(Paramètres!$B$12*10^9)^0.5/Paramètres!$B$7/2/D88*1000</f>
        <v>318.077920088383</v>
      </c>
    </row>
    <row r="89" customFormat="false" ht="12.8" hidden="false" customHeight="false" outlineLevel="0" collapsed="false">
      <c r="A89" s="79" t="n">
        <f aca="false">IF(ISBLANK(D89),"-",IF(AND($A$6,$A$4/2&lt;AD89),AG89,AD89))</f>
        <v>2230.38476561381</v>
      </c>
      <c r="B89" s="79" t="str">
        <f aca="false">IF(ISBLANK(D89),"",VLOOKUP(MOD(C89-Paramètres!$B$54,12)+1,Paramètres!$B$40:$C$52,2)&amp;" "&amp;(TRUNC((C89-Paramètres!$B$54+120)/12)-10+1))</f>
        <v>Do# 6</v>
      </c>
      <c r="C89" s="11" t="n">
        <f aca="false">IF(ISBLANK(D89),"",C88+1)</f>
        <v>77</v>
      </c>
      <c r="D89" s="25" t="n">
        <v>86</v>
      </c>
      <c r="E89" s="6" t="n">
        <v>0.85</v>
      </c>
      <c r="F89" s="6"/>
      <c r="G89" s="25" t="n">
        <v>3</v>
      </c>
      <c r="H89" s="25" t="s">
        <v>73</v>
      </c>
      <c r="I89" s="80" t="n">
        <f aca="false">IF(ISBLANK(D89),"",IF(F89&gt;0,AU89/AT89,AM89))</f>
        <v>0.642235746967681</v>
      </c>
      <c r="J89" s="81" t="str">
        <f aca="false">IF(ISBLANK(D89),"",IF(AQ89,"","]"&amp;AO89&amp;" -- "&amp;AP89&amp;"["))</f>
        <v/>
      </c>
      <c r="K89" s="80" t="n">
        <f aca="false">IF(ISBLANK(D89),"",BA89)</f>
        <v>-0.0444444444444445</v>
      </c>
      <c r="L89" s="82" t="n">
        <f aca="false">IF(ISBLANK(D89),"",IF(F89&gt;0,BF89,BF89))</f>
        <v>0.0105362471774243</v>
      </c>
      <c r="M89" s="80" t="n">
        <f aca="false">IF(ISBLANK(D89),"",IF(F89&gt;0,"-",N89/(2^(1/12)-1)))</f>
        <v>0.265784533018771</v>
      </c>
      <c r="N89" s="83" t="n">
        <f aca="false">IF(ISBLANK(D89),"",IF(F89&gt;0,"-",1.5*L89))</f>
        <v>0.0158043707661364</v>
      </c>
      <c r="O89" s="12" t="n">
        <f aca="false">IF(ISBLANK(D89),"",IF(F89&gt;0,AU89,AK89))</f>
        <v>655.562138717261</v>
      </c>
      <c r="P89" s="12" t="n">
        <f aca="false">IF(ISBLANK(D89),"",IF(F89&gt;0,AU89*G89,AL89))</f>
        <v>1966.68641615178</v>
      </c>
      <c r="Q89" s="84" t="n">
        <v>0.75</v>
      </c>
      <c r="R89" s="12" t="n">
        <f aca="false">IF(ISBLANK(D89),"",AT89*Q89)</f>
        <v>765.5625</v>
      </c>
      <c r="S89" s="13" t="n">
        <f aca="false">IF(ISBLANK(D89),"",AJ89)</f>
        <v>0.926139966004681</v>
      </c>
      <c r="T89" s="85" t="str">
        <f aca="false">IF(ISBLANK(F89),"",ROUND(S89*10*G89,0)/10/G89)</f>
        <v/>
      </c>
      <c r="U89" s="86" t="str">
        <f aca="false">IF(F89&gt;0,(AJ89-E89)/2,"")</f>
        <v/>
      </c>
      <c r="V89" s="86" t="str">
        <f aca="false">IF(F89&gt;0,AN89,"")</f>
        <v/>
      </c>
      <c r="W89" s="87" t="str">
        <f aca="false">IF(F89&gt;0,IF(U89&lt;Paramètres!$B$5,"!!!",""),"")</f>
        <v/>
      </c>
      <c r="X89" s="88" t="str">
        <f aca="false">IF(U89&lt;&gt;"",IF(U89/3&gt;=Paramètres!$B$5,(S89-E89)/2/3,""),"")</f>
        <v/>
      </c>
      <c r="Y89" s="88" t="str">
        <f aca="false">IF(U89&lt;&gt;"",IF(U89/3&gt;=Paramètres!$B$5,AV89,""),"")</f>
        <v/>
      </c>
      <c r="Z89" s="88" t="str">
        <f aca="false">IF(X89&lt;&gt;"",Y89*2,"")</f>
        <v/>
      </c>
      <c r="AB89" s="1"/>
      <c r="AC89" s="79" t="str">
        <f aca="false">INDEX('Charge de rupture par diamètre'!$C$1:$AC$1,AR89)</f>
        <v>Stephen Paulello France</v>
      </c>
      <c r="AD89" s="13" t="n">
        <f aca="false">IF(ISBLANK(D89),"-",$A$4/16 * 2^((C89-1)/12))</f>
        <v>2217.46104781498</v>
      </c>
      <c r="AE89" s="13" t="n">
        <f aca="false">AG89/(AG$9*SQRT(1+$L89*AG$9^2))</f>
        <v>2218.72686544403</v>
      </c>
      <c r="AF89" s="13" t="n">
        <f aca="false">$AE89*AF$9*SQRT(1+$L89*AF$9^2)</f>
        <v>4529.99695381769</v>
      </c>
      <c r="AG89" s="13" t="n">
        <f aca="false">AF77</f>
        <v>2230.38476561381</v>
      </c>
      <c r="AH89" s="19" t="n">
        <f aca="false">IF(AND(C89&gt;12,F77="",AD89&gt;$A$4),AH77*2*(1+N77),IF(AD89&gt;=$A$4/2,AD89,AD89))</f>
        <v>2230.84357858678</v>
      </c>
      <c r="AI89" s="19" t="n">
        <f aca="false">IF(AND(C89&gt;12,F77="",AD89&gt;$A$4),AH77*2*(1+N77),IF(AD89&gt;=$A$4/2,AD89,AH101/2/(1+N89)))</f>
        <v>2230.84357858678</v>
      </c>
      <c r="AJ89" s="85" t="n">
        <f aca="false">IF(Q89&gt;0,((R89*10^12/PI()/A89^2/D89^2-Paramètres!$B$7*E89^2)*4/PI()/Paramètres!$B$8+E89^2)^0.5,"")</f>
        <v>0.926139966004681</v>
      </c>
      <c r="AK89" s="12" t="n">
        <f aca="false">PI()*Paramètres!$B$7*(E89*A89*D89)^2/10^12</f>
        <v>655.562138717261</v>
      </c>
      <c r="AL89" s="12" t="n">
        <f aca="false">AK89*G89</f>
        <v>1966.68641615178</v>
      </c>
      <c r="AM89" s="80" t="n">
        <f aca="false">AK89/AT89</f>
        <v>0.642235746967681</v>
      </c>
      <c r="AN89" s="85" t="n">
        <f aca="false">(-E89+0.1*Paramètres!$B$7/E89/Paramètres!$B$8/PI()*(AW89^2-E89^2)+(E89^2+3.8*Paramètres!$B$7/Paramètres!$B$8/PI()*(AW89^2-E89^2))^0.5)/2</f>
        <v>0.0382298712262157</v>
      </c>
      <c r="AO89" s="85" t="n">
        <f aca="false">VLOOKUP(C89,Paramètres!$C$30:$F$37,2,1)</f>
        <v>0.6</v>
      </c>
      <c r="AP89" s="85" t="n">
        <f aca="false">VLOOKUP(C89,Paramètres!$C$30:$F$37,4,1)</f>
        <v>0.8</v>
      </c>
      <c r="AQ89" s="11" t="b">
        <f aca="false">AND(I89&gt;=AO89,I89&lt;=AP89)</f>
        <v>1</v>
      </c>
      <c r="AR89" s="12" t="n">
        <f aca="false">HLOOKUP(H89,'Charge de rupture par diamètre'!$D$16:$AC$17,2,0)</f>
        <v>3</v>
      </c>
      <c r="AS89" s="12" t="n">
        <f aca="false">VLOOKUP(E89,'Charge de rupture par diamètre'!$C$16:$AC$53,AR89,1)</f>
        <v>1361</v>
      </c>
      <c r="AT89" s="12" t="n">
        <f aca="false">AS89*Paramètres!$B$9</f>
        <v>1020.75</v>
      </c>
      <c r="AU89" s="79" t="n">
        <f aca="false">PI()*A89^2*D89^2*(Paramètres!$B$7*E89^2+Paramètres!$B$8*PI()/4*(F89^2-E89^2))/10^12</f>
        <v>67.880532897732</v>
      </c>
      <c r="AV89" s="13" t="n">
        <f aca="false">0.183*(-E89+(E89^2+4*Paramètres!$B$7/PI()/Paramètres!$B$8*(AW89^2-E89^2))^0.5)</f>
        <v>0.0139336137788566</v>
      </c>
      <c r="AW89" s="85" t="n">
        <f aca="false">(R89/PI()/Paramètres!$B$7)^0.5/A89/D89*10^6</f>
        <v>0.918548981598894</v>
      </c>
      <c r="AX89" s="12" t="e">
        <f aca="false">Q89*VLOOKUP(H89,Paramètres!$B$15:$C$18,2,0)*Paramètres!$B$9</f>
        <v>#N/A</v>
      </c>
      <c r="AY89" s="13" t="e">
        <f aca="false">(AX89/PI()/Paramètres!$B$7)^0.5/A89/D89*10^6</f>
        <v>#N/A</v>
      </c>
      <c r="AZ89" s="12" t="n">
        <f aca="false">(IF(F89&gt;0,(F89*F89 -E89*E89)/Paramètres!$B$7*Paramètres!$B$8,0)+E89*E89)*D89*G89</f>
        <v>186.405</v>
      </c>
      <c r="BA89" s="80" t="n">
        <f aca="false">-1+AZ89/AZ88</f>
        <v>-0.0444444444444445</v>
      </c>
      <c r="BB89" s="80" t="n">
        <f aca="false">IF(F89&gt;0,"",0.234*Paramètres!$B$12*10^9*IF(F89&gt;0,E89,E89)^2/Paramètres!$B$7/A89^2/D89^4*10^6)</f>
        <v>0.015987554446629</v>
      </c>
      <c r="BC89" s="11" t="n">
        <v>2</v>
      </c>
      <c r="BD89" s="80" t="n">
        <f aca="false">BC89*SQRT(1+L89*BC89^2)-BC89</f>
        <v>0.041710056506258</v>
      </c>
      <c r="BE89" s="11" t="str">
        <f aca="false">IF(F89&gt;0,PI()^2*Paramètres!$B$12*10^9/8/O89*(E89^4+E89^2*F89^2)*10^-12/D89^2/10^-6,"-")</f>
        <v>-</v>
      </c>
      <c r="BF89" s="11" t="n">
        <f aca="false">IF(ISBLANK(D89),"-",PI()^3*E89^4*Paramètres!$B$12*10^9/64/O89/(D89/1000)^2*10^-12)</f>
        <v>0.0105362471774243</v>
      </c>
      <c r="BG89" s="90" t="n">
        <f aca="false">(Paramètres!$B$12*10^9)^0.5/Paramètres!$B$7/2/D89*1000</f>
        <v>332.872241952959</v>
      </c>
    </row>
    <row r="90" customFormat="false" ht="12.8" hidden="false" customHeight="false" outlineLevel="0" collapsed="false">
      <c r="A90" s="79" t="n">
        <f aca="false">IF(ISBLANK(D90),"-",IF(AND($A$6,$A$4/2&lt;AD90),AG90,AD90))</f>
        <v>2364.52696923569</v>
      </c>
      <c r="B90" s="79" t="str">
        <f aca="false">IF(ISBLANK(D90),"",VLOOKUP(MOD(C90-Paramètres!$B$54,12)+1,Paramètres!$B$40:$C$52,2)&amp;" "&amp;(TRUNC((C90-Paramètres!$B$54+120)/12)-10+1))</f>
        <v>Ré 6</v>
      </c>
      <c r="C90" s="11" t="n">
        <f aca="false">IF(ISBLANK(D90),"",C89+1)</f>
        <v>78</v>
      </c>
      <c r="D90" s="25" t="n">
        <v>82</v>
      </c>
      <c r="E90" s="6" t="n">
        <v>0.85</v>
      </c>
      <c r="F90" s="6"/>
      <c r="G90" s="25" t="n">
        <v>3</v>
      </c>
      <c r="H90" s="25" t="s">
        <v>73</v>
      </c>
      <c r="I90" s="80" t="n">
        <f aca="false">IF(ISBLANK(D90),"",IF(F90&gt;0,AU90/AT90,AM90))</f>
        <v>0.656227219944564</v>
      </c>
      <c r="J90" s="81" t="str">
        <f aca="false">IF(ISBLANK(D90),"",IF(AQ90,"","]"&amp;AO90&amp;" -- "&amp;AP90&amp;"["))</f>
        <v/>
      </c>
      <c r="K90" s="80" t="n">
        <f aca="false">IF(ISBLANK(D90),"",BA90)</f>
        <v>-0.0465116279069768</v>
      </c>
      <c r="L90" s="82" t="n">
        <f aca="false">IF(ISBLANK(D90),"",IF(F90&gt;0,BF90,BF90))</f>
        <v>0.0113421498899109</v>
      </c>
      <c r="M90" s="80" t="n">
        <f aca="false">IF(ISBLANK(D90),"",IF(F90&gt;0,"-",N90/(2^(1/12)-1)))</f>
        <v>0.286114017748</v>
      </c>
      <c r="N90" s="83" t="n">
        <f aca="false">IF(ISBLANK(D90),"",IF(F90&gt;0,"-",1.5*L90))</f>
        <v>0.0170132248348664</v>
      </c>
      <c r="O90" s="12" t="n">
        <f aca="false">IF(ISBLANK(D90),"",IF(F90&gt;0,AU90,AK90))</f>
        <v>669.843934758414</v>
      </c>
      <c r="P90" s="12" t="n">
        <f aca="false">IF(ISBLANK(D90),"",IF(F90&gt;0,AU90*G90,AL90))</f>
        <v>2009.53180427524</v>
      </c>
      <c r="Q90" s="84" t="n">
        <v>0.75</v>
      </c>
      <c r="R90" s="12" t="n">
        <f aca="false">IF(ISBLANK(D90),"",AT90*Q90)</f>
        <v>765.5625</v>
      </c>
      <c r="S90" s="13" t="n">
        <f aca="false">IF(ISBLANK(D90),"",AJ90)</f>
        <v>0.915242094188069</v>
      </c>
      <c r="T90" s="85" t="str">
        <f aca="false">IF(ISBLANK(F90),"",ROUND(S90*10*G90,0)/10/G90)</f>
        <v/>
      </c>
      <c r="U90" s="86" t="str">
        <f aca="false">IF(F90&gt;0,(AJ90-E90)/2,"")</f>
        <v/>
      </c>
      <c r="V90" s="86" t="str">
        <f aca="false">IF(F90&gt;0,AN90,"")</f>
        <v/>
      </c>
      <c r="W90" s="87" t="str">
        <f aca="false">IF(F90&gt;0,IF(U90&lt;Paramètres!$B$5,"!!!",""),"")</f>
        <v/>
      </c>
      <c r="X90" s="88" t="str">
        <f aca="false">IF(U90&lt;&gt;"",IF(U90/3&gt;=Paramètres!$B$5,(S90-E90)/2/3,""),"")</f>
        <v/>
      </c>
      <c r="Y90" s="88" t="str">
        <f aca="false">IF(U90&lt;&gt;"",IF(U90/3&gt;=Paramètres!$B$5,AV90,""),"")</f>
        <v/>
      </c>
      <c r="Z90" s="88" t="str">
        <f aca="false">IF(X90&lt;&gt;"",Y90*2,"")</f>
        <v/>
      </c>
      <c r="AB90" s="1"/>
      <c r="AC90" s="79" t="str">
        <f aca="false">INDEX('Charge de rupture par diamètre'!$C$1:$AC$1,AR90)</f>
        <v>Stephen Paulello France</v>
      </c>
      <c r="AD90" s="13" t="n">
        <f aca="false">IF(ISBLANK(D90),"-",$A$4/16 * 2^((C90-1)/12))</f>
        <v>2349.31814333926</v>
      </c>
      <c r="AE90" s="13" t="n">
        <f aca="false">AG90/(AG$9*SQRT(1+$L90*AG$9^2))</f>
        <v>2351.23056067324</v>
      </c>
      <c r="AF90" s="13" t="n">
        <f aca="false">$AE90*AF$9*SQRT(1+$L90*AF$9^2)</f>
        <v>4807.94996007255</v>
      </c>
      <c r="AG90" s="13" t="n">
        <f aca="false">AF78</f>
        <v>2364.52696923569</v>
      </c>
      <c r="AH90" s="19" t="n">
        <f aca="false">IF(AND(C90&gt;12,F78="",AD90&gt;$A$4),AH78*2*(1+N78),IF(AD90&gt;=$A$4/2,AD90,AD90))</f>
        <v>2364.97214892026</v>
      </c>
      <c r="AI90" s="19" t="n">
        <f aca="false">IF(AND(C90&gt;12,F78="",AD90&gt;$A$4),AH78*2*(1+N78),IF(AD90&gt;=$A$4/2,AD90,AH102/2/(1+N90)))</f>
        <v>2364.97214892026</v>
      </c>
      <c r="AJ90" s="85" t="n">
        <f aca="false">IF(Q90&gt;0,((R90*10^12/PI()/A90^2/D90^2-Paramètres!$B$7*E90^2)*4/PI()/Paramètres!$B$8+E90^2)^0.5,"")</f>
        <v>0.915242094188069</v>
      </c>
      <c r="AK90" s="12" t="n">
        <f aca="false">PI()*Paramètres!$B$7*(E90*A90*D90)^2/10^12</f>
        <v>669.843934758414</v>
      </c>
      <c r="AL90" s="12" t="n">
        <f aca="false">AK90*G90</f>
        <v>2009.53180427524</v>
      </c>
      <c r="AM90" s="80" t="n">
        <f aca="false">AK90/AT90</f>
        <v>0.656227219944564</v>
      </c>
      <c r="AN90" s="85" t="n">
        <f aca="false">(-E90+0.1*Paramètres!$B$7/E90/Paramètres!$B$8/PI()*(AW90^2-E90^2)+(E90^2+3.8*Paramètres!$B$7/Paramètres!$B$8/PI()*(AW90^2-E90^2))^0.5)/2</f>
        <v>0.0327390645629452</v>
      </c>
      <c r="AO90" s="85" t="n">
        <f aca="false">VLOOKUP(C90,Paramètres!$C$30:$F$37,2,1)</f>
        <v>0.6</v>
      </c>
      <c r="AP90" s="85" t="n">
        <f aca="false">VLOOKUP(C90,Paramètres!$C$30:$F$37,4,1)</f>
        <v>0.8</v>
      </c>
      <c r="AQ90" s="11" t="b">
        <f aca="false">AND(I90&gt;=AO90,I90&lt;=AP90)</f>
        <v>1</v>
      </c>
      <c r="AR90" s="12" t="n">
        <f aca="false">HLOOKUP(H90,'Charge de rupture par diamètre'!$D$16:$AC$17,2,0)</f>
        <v>3</v>
      </c>
      <c r="AS90" s="12" t="n">
        <f aca="false">VLOOKUP(E90,'Charge de rupture par diamètre'!$C$16:$AC$53,AR90,1)</f>
        <v>1361</v>
      </c>
      <c r="AT90" s="12" t="n">
        <f aca="false">AS90*Paramètres!$B$9</f>
        <v>1020.75</v>
      </c>
      <c r="AU90" s="79" t="n">
        <f aca="false">PI()*A90^2*D90^2*(Paramètres!$B$7*E90^2+Paramètres!$B$8*PI()/4*(F90^2-E90^2))/10^12</f>
        <v>69.3593491208701</v>
      </c>
      <c r="AV90" s="13" t="n">
        <f aca="false">0.183*(-E90+(E90^2+4*Paramètres!$B$7/PI()/Paramètres!$B$8*(AW90^2-E90^2))^0.5)</f>
        <v>0.0119393032364166</v>
      </c>
      <c r="AW90" s="85" t="n">
        <f aca="false">(R90/PI()/Paramètres!$B$7)^0.5/A90/D90*10^6</f>
        <v>0.908703994317107</v>
      </c>
      <c r="AX90" s="12" t="e">
        <f aca="false">Q90*VLOOKUP(H90,Paramètres!$B$15:$C$18,2,0)*Paramètres!$B$9</f>
        <v>#N/A</v>
      </c>
      <c r="AY90" s="13" t="e">
        <f aca="false">(AX90/PI()/Paramètres!$B$7)^0.5/A90/D90*10^6</f>
        <v>#N/A</v>
      </c>
      <c r="AZ90" s="12" t="n">
        <f aca="false">(IF(F90&gt;0,(F90*F90 -E90*E90)/Paramètres!$B$7*Paramètres!$B$8,0)+E90*E90)*D90*G90</f>
        <v>177.735</v>
      </c>
      <c r="BA90" s="80" t="n">
        <f aca="false">-1+AZ90/AZ89</f>
        <v>-0.0465116279069768</v>
      </c>
      <c r="BB90" s="80" t="n">
        <f aca="false">IF(F90&gt;0,"",0.234*Paramètres!$B$12*10^9*IF(F90&gt;0,E90,E90)^2/Paramètres!$B$7/A90^2/D90^4*10^6)</f>
        <v>0.0172104199771733</v>
      </c>
      <c r="BC90" s="11" t="n">
        <v>2</v>
      </c>
      <c r="BD90" s="80" t="n">
        <f aca="false">BC90*SQRT(1+L90*BC90^2)-BC90</f>
        <v>0.0448653741111111</v>
      </c>
      <c r="BE90" s="11" t="str">
        <f aca="false">IF(F90&gt;0,PI()^2*Paramètres!$B$12*10^9/8/O90*(E90^4+E90^2*F90^2)*10^-12/D90^2/10^-6,"-")</f>
        <v>-</v>
      </c>
      <c r="BF90" s="11" t="n">
        <f aca="false">IF(ISBLANK(D90),"-",PI()^3*E90^4*Paramètres!$B$12*10^9/64/O90/(D90/1000)^2*10^-12)</f>
        <v>0.0113421498899109</v>
      </c>
      <c r="BG90" s="90" t="n">
        <f aca="false">(Paramètres!$B$12*10^9)^0.5/Paramètres!$B$7/2/D90*1000</f>
        <v>349.109912292127</v>
      </c>
    </row>
    <row r="91" customFormat="false" ht="12.8" hidden="false" customHeight="false" outlineLevel="0" collapsed="false">
      <c r="A91" s="79" t="n">
        <f aca="false">IF(ISBLANK(D91),"-",IF(AND($A$6,$A$4/2&lt;AD91),AG91,AD91))</f>
        <v>2507.05076941414</v>
      </c>
      <c r="B91" s="79" t="str">
        <f aca="false">IF(ISBLANK(D91),"",VLOOKUP(MOD(C91-Paramètres!$B$54,12)+1,Paramètres!$B$40:$C$52,2)&amp;" "&amp;(TRUNC((C91-Paramètres!$B$54+120)/12)-10+1))</f>
        <v>Ré# 6</v>
      </c>
      <c r="C91" s="11" t="n">
        <f aca="false">IF(ISBLANK(D91),"",C90+1)</f>
        <v>79</v>
      </c>
      <c r="D91" s="25" t="n">
        <v>77</v>
      </c>
      <c r="E91" s="6" t="n">
        <v>0.85</v>
      </c>
      <c r="F91" s="6"/>
      <c r="G91" s="25" t="n">
        <v>3</v>
      </c>
      <c r="H91" s="25" t="s">
        <v>73</v>
      </c>
      <c r="I91" s="80" t="n">
        <f aca="false">IF(ISBLANK(D91),"",IF(F91&gt;0,AU91/AT91,AM91))</f>
        <v>0.650497602437615</v>
      </c>
      <c r="J91" s="81" t="str">
        <f aca="false">IF(ISBLANK(D91),"",IF(AQ91,"","]"&amp;AO91&amp;" -- "&amp;AP91&amp;"["))</f>
        <v/>
      </c>
      <c r="K91" s="80" t="n">
        <f aca="false">IF(ISBLANK(D91),"",BA91)</f>
        <v>-0.0609756097560974</v>
      </c>
      <c r="L91" s="82" t="n">
        <f aca="false">IF(ISBLANK(D91),"",IF(F91&gt;0,BF91,BF91))</f>
        <v>0.0129762790783717</v>
      </c>
      <c r="M91" s="80" t="n">
        <f aca="false">IF(ISBLANK(D91),"",IF(F91&gt;0,"-",N91/(2^(1/12)-1)))</f>
        <v>0.327336120450565</v>
      </c>
      <c r="N91" s="83" t="n">
        <f aca="false">IF(ISBLANK(D91),"",IF(F91&gt;0,"-",1.5*L91))</f>
        <v>0.0194644186175576</v>
      </c>
      <c r="O91" s="12" t="n">
        <f aca="false">IF(ISBLANK(D91),"",IF(F91&gt;0,AU91,AK91))</f>
        <v>663.995427688195</v>
      </c>
      <c r="P91" s="12" t="n">
        <f aca="false">IF(ISBLANK(D91),"",IF(F91&gt;0,AU91*G91,AL91))</f>
        <v>1991.98628306459</v>
      </c>
      <c r="Q91" s="84" t="n">
        <v>0.75</v>
      </c>
      <c r="R91" s="12" t="n">
        <f aca="false">IF(ISBLANK(D91),"",AT91*Q91)</f>
        <v>765.5625</v>
      </c>
      <c r="S91" s="13" t="n">
        <f aca="false">IF(ISBLANK(D91),"",AJ91)</f>
        <v>0.919663728192714</v>
      </c>
      <c r="T91" s="85" t="str">
        <f aca="false">IF(ISBLANK(F91),"",ROUND(S91*10*G91,0)/10/G91)</f>
        <v/>
      </c>
      <c r="U91" s="86" t="str">
        <f aca="false">IF(F91&gt;0,(AJ91-E91)/2,"")</f>
        <v/>
      </c>
      <c r="V91" s="86" t="str">
        <f aca="false">IF(F91&gt;0,AN91,"")</f>
        <v/>
      </c>
      <c r="W91" s="87" t="str">
        <f aca="false">IF(F91&gt;0,IF(U91&lt;Paramètres!$B$5,"!!!",""),"")</f>
        <v/>
      </c>
      <c r="X91" s="88" t="str">
        <f aca="false">IF(U91&lt;&gt;"",IF(U91/3&gt;=Paramètres!$B$5,(S91-E91)/2/3,""),"")</f>
        <v/>
      </c>
      <c r="Y91" s="88" t="str">
        <f aca="false">IF(U91&lt;&gt;"",IF(U91/3&gt;=Paramètres!$B$5,AV91,""),"")</f>
        <v/>
      </c>
      <c r="Z91" s="88" t="str">
        <f aca="false">IF(X91&lt;&gt;"",Y91*2,"")</f>
        <v/>
      </c>
      <c r="AB91" s="1"/>
      <c r="AC91" s="79" t="str">
        <f aca="false">INDEX('Charge de rupture par diamètre'!$C$1:$AC$1,AR91)</f>
        <v>Stephen Paulello France</v>
      </c>
      <c r="AD91" s="13" t="n">
        <f aca="false">IF(ISBLANK(D91),"-",$A$4/16 * 2^((C91-1)/12))</f>
        <v>2489.01586977665</v>
      </c>
      <c r="AE91" s="13" t="n">
        <f aca="false">AG91/(AG$9*SQRT(1+$L91*AG$9^2))</f>
        <v>2490.94128660404</v>
      </c>
      <c r="AF91" s="13" t="n">
        <f aca="false">$AE91*AF$9*SQRT(1+$L91*AF$9^2)</f>
        <v>5109.53961204113</v>
      </c>
      <c r="AG91" s="13" t="n">
        <f aca="false">AF79</f>
        <v>2507.05076941414</v>
      </c>
      <c r="AH91" s="19" t="n">
        <f aca="false">IF(AND(C91&gt;12,F79="",AD91&gt;$A$4),AH79*2*(1+N79),IF(AD91&gt;=$A$4/2,AD91,AD91))</f>
        <v>2507.48388681316</v>
      </c>
      <c r="AI91" s="19" t="n">
        <f aca="false">IF(AND(C91&gt;12,F79="",AD91&gt;$A$4),AH79*2*(1+N79),IF(AD91&gt;=$A$4/2,AD91,AH103/2/(1+N91)))</f>
        <v>2507.48388681316</v>
      </c>
      <c r="AJ91" s="85" t="n">
        <f aca="false">IF(Q91&gt;0,((R91*10^12/PI()/A91^2/D91^2-Paramètres!$B$7*E91^2)*4/PI()/Paramètres!$B$8+E91^2)^0.5,"")</f>
        <v>0.919663728192714</v>
      </c>
      <c r="AK91" s="12" t="n">
        <f aca="false">PI()*Paramètres!$B$7*(E91*A91*D91)^2/10^12</f>
        <v>663.995427688195</v>
      </c>
      <c r="AL91" s="12" t="n">
        <f aca="false">AK91*G91</f>
        <v>1991.98628306459</v>
      </c>
      <c r="AM91" s="80" t="n">
        <f aca="false">AK91/AT91</f>
        <v>0.650497602437615</v>
      </c>
      <c r="AN91" s="85" t="n">
        <f aca="false">(-E91+0.1*Paramètres!$B$7/E91/Paramètres!$B$8/PI()*(AW91^2-E91^2)+(E91^2+3.8*Paramètres!$B$7/Paramètres!$B$8/PI()*(AW91^2-E91^2))^0.5)/2</f>
        <v>0.0349661301614304</v>
      </c>
      <c r="AO91" s="85" t="n">
        <f aca="false">VLOOKUP(C91,Paramètres!$C$30:$F$37,2,1)</f>
        <v>0.6</v>
      </c>
      <c r="AP91" s="85" t="n">
        <f aca="false">VLOOKUP(C91,Paramètres!$C$30:$F$37,4,1)</f>
        <v>0.8</v>
      </c>
      <c r="AQ91" s="11" t="b">
        <f aca="false">AND(I91&gt;=AO91,I91&lt;=AP91)</f>
        <v>1</v>
      </c>
      <c r="AR91" s="12" t="n">
        <f aca="false">HLOOKUP(H91,'Charge de rupture par diamètre'!$D$16:$AC$17,2,0)</f>
        <v>3</v>
      </c>
      <c r="AS91" s="12" t="n">
        <f aca="false">VLOOKUP(E91,'Charge de rupture par diamètre'!$C$16:$AC$53,AR91,1)</f>
        <v>1361</v>
      </c>
      <c r="AT91" s="12" t="n">
        <f aca="false">AS91*Paramètres!$B$9</f>
        <v>1020.75</v>
      </c>
      <c r="AU91" s="79" t="n">
        <f aca="false">PI()*A91^2*D91^2*(Paramètres!$B$7*E91^2+Paramètres!$B$8*PI()/4*(F91^2-E91^2))/10^12</f>
        <v>68.7537623227072</v>
      </c>
      <c r="AV91" s="13" t="n">
        <f aca="false">0.183*(-E91+(E91^2+4*Paramètres!$B$7/PI()/Paramètres!$B$8*(AW91^2-E91^2))^0.5)</f>
        <v>0.0127484622592666</v>
      </c>
      <c r="AW91" s="85" t="n">
        <f aca="false">(R91/PI()/Paramètres!$B$7)^0.5/A91/D91*10^6</f>
        <v>0.912697177128223</v>
      </c>
      <c r="AX91" s="12" t="e">
        <f aca="false">Q91*VLOOKUP(H91,Paramètres!$B$15:$C$18,2,0)*Paramètres!$B$9</f>
        <v>#N/A</v>
      </c>
      <c r="AY91" s="13" t="e">
        <f aca="false">(AX91/PI()/Paramètres!$B$7)^0.5/A91/D91*10^6</f>
        <v>#N/A</v>
      </c>
      <c r="AZ91" s="12" t="n">
        <f aca="false">(IF(F91&gt;0,(F91*F91 -E91*E91)/Paramètres!$B$7*Paramètres!$B$8,0)+E91*E91)*D91*G91</f>
        <v>166.8975</v>
      </c>
      <c r="BA91" s="80" t="n">
        <f aca="false">-1+AZ91/AZ90</f>
        <v>-0.0609756097560974</v>
      </c>
      <c r="BB91" s="80" t="n">
        <f aca="false">IF(F91&gt;0,"",0.234*Paramètres!$B$12*10^9*IF(F91&gt;0,E91,E91)^2/Paramètres!$B$7/A91^2/D91^4*10^6)</f>
        <v>0.0196900248054771</v>
      </c>
      <c r="BC91" s="11" t="n">
        <v>2</v>
      </c>
      <c r="BD91" s="80" t="n">
        <f aca="false">BC91*SQRT(1+L91*BC91^2)-BC91</f>
        <v>0.0512485137725141</v>
      </c>
      <c r="BE91" s="11" t="str">
        <f aca="false">IF(F91&gt;0,PI()^2*Paramètres!$B$12*10^9/8/O91*(E91^4+E91^2*F91^2)*10^-12/D91^2/10^-6,"-")</f>
        <v>-</v>
      </c>
      <c r="BF91" s="11" t="n">
        <f aca="false">IF(ISBLANK(D91),"-",PI()^3*E91^4*Paramètres!$B$12*10^9/64/O91/(D91/1000)^2*10^-12)</f>
        <v>0.0129762790783717</v>
      </c>
      <c r="BG91" s="90" t="n">
        <f aca="false">(Paramètres!$B$12*10^9)^0.5/Paramètres!$B$7/2/D91*1000</f>
        <v>371.779387116291</v>
      </c>
    </row>
    <row r="92" customFormat="false" ht="12.8" hidden="false" customHeight="false" outlineLevel="0" collapsed="false">
      <c r="A92" s="79" t="n">
        <f aca="false">IF(ISBLANK(D92),"-",IF(AND($A$6,$A$4/2&lt;AD92),AG92,AD92))</f>
        <v>2662.6226787101</v>
      </c>
      <c r="B92" s="79" t="str">
        <f aca="false">IF(ISBLANK(D92),"",VLOOKUP(MOD(C92-Paramètres!$B$54,12)+1,Paramètres!$B$40:$C$52,2)&amp;" "&amp;(TRUNC((C92-Paramètres!$B$54+120)/12)-10+1))</f>
        <v>Mi 6</v>
      </c>
      <c r="C92" s="11" t="n">
        <f aca="false">IF(ISBLANK(D92),"",C91+1)</f>
        <v>80</v>
      </c>
      <c r="D92" s="25" t="n">
        <v>73</v>
      </c>
      <c r="E92" s="6" t="n">
        <v>0.85</v>
      </c>
      <c r="F92" s="6"/>
      <c r="G92" s="25" t="n">
        <v>3</v>
      </c>
      <c r="H92" s="25" t="s">
        <v>73</v>
      </c>
      <c r="I92" s="80" t="n">
        <f aca="false">IF(ISBLANK(D92),"",IF(F92&gt;0,AU92/AT92,AM92))</f>
        <v>0.659482029897115</v>
      </c>
      <c r="J92" s="81" t="str">
        <f aca="false">IF(ISBLANK(D92),"",IF(AQ92,"","]"&amp;AO92&amp;" -- "&amp;AP92&amp;"["))</f>
        <v/>
      </c>
      <c r="K92" s="80" t="n">
        <f aca="false">IF(ISBLANK(D92),"",BA92)</f>
        <v>-0.0519480519480521</v>
      </c>
      <c r="L92" s="82" t="n">
        <f aca="false">IF(ISBLANK(D92),"",IF(F92&gt;0,BF92,BF92))</f>
        <v>0.0142406115976333</v>
      </c>
      <c r="M92" s="80" t="n">
        <f aca="false">IF(ISBLANK(D92),"",IF(F92&gt;0,"-",N92/(2^(1/12)-1)))</f>
        <v>0.359229831992602</v>
      </c>
      <c r="N92" s="83" t="n">
        <f aca="false">IF(ISBLANK(D92),"",IF(F92&gt;0,"-",1.5*L92))</f>
        <v>0.0213609173964499</v>
      </c>
      <c r="O92" s="12" t="n">
        <f aca="false">IF(ISBLANK(D92),"",IF(F92&gt;0,AU92,AK92))</f>
        <v>673.166282017481</v>
      </c>
      <c r="P92" s="12" t="n">
        <f aca="false">IF(ISBLANK(D92),"",IF(F92&gt;0,AU92*G92,AL92))</f>
        <v>2019.49884605244</v>
      </c>
      <c r="Q92" s="84" t="n">
        <v>0.75</v>
      </c>
      <c r="R92" s="12" t="n">
        <f aca="false">IF(ISBLANK(D92),"",AT92*Q92)</f>
        <v>765.5625</v>
      </c>
      <c r="S92" s="13" t="n">
        <f aca="false">IF(ISBLANK(D92),"",AJ92)</f>
        <v>0.912755162996739</v>
      </c>
      <c r="T92" s="85" t="str">
        <f aca="false">IF(ISBLANK(F92),"",ROUND(S92*10*G92,0)/10/G92)</f>
        <v/>
      </c>
      <c r="U92" s="86" t="str">
        <f aca="false">IF(F92&gt;0,(AJ92-E92)/2,"")</f>
        <v/>
      </c>
      <c r="V92" s="86" t="str">
        <f aca="false">IF(F92&gt;0,AN92,"")</f>
        <v/>
      </c>
      <c r="W92" s="87" t="str">
        <f aca="false">IF(F92&gt;0,IF(U92&lt;Paramètres!$B$5,"!!!",""),"")</f>
        <v/>
      </c>
      <c r="X92" s="88" t="str">
        <f aca="false">IF(U92&lt;&gt;"",IF(U92/3&gt;=Paramètres!$B$5,(S92-E92)/2/3,""),"")</f>
        <v/>
      </c>
      <c r="Y92" s="88" t="str">
        <f aca="false">IF(U92&lt;&gt;"",IF(U92/3&gt;=Paramètres!$B$5,AV92,""),"")</f>
        <v/>
      </c>
      <c r="Z92" s="88" t="str">
        <f aca="false">IF(X92&lt;&gt;"",Y92*2,"")</f>
        <v/>
      </c>
      <c r="AB92" s="1"/>
      <c r="AC92" s="79" t="str">
        <f aca="false">INDEX('Charge de rupture par diamètre'!$C$1:$AC$1,AR92)</f>
        <v>Stephen Paulello France</v>
      </c>
      <c r="AD92" s="13" t="n">
        <f aca="false">IF(ISBLANK(D92),"-",$A$4/16 * 2^((C92-1)/12))</f>
        <v>2637.02045530296</v>
      </c>
      <c r="AE92" s="13" t="n">
        <f aca="false">AG92/(AG$9*SQRT(1+$L92*AG$9^2))</f>
        <v>2643.86410510041</v>
      </c>
      <c r="AF92" s="13" t="n">
        <f aca="false">$AE92*AF$9*SQRT(1+$L92*AF$9^2)</f>
        <v>5436.24351846389</v>
      </c>
      <c r="AG92" s="13" t="n">
        <f aca="false">AF80</f>
        <v>2662.6226787101</v>
      </c>
      <c r="AH92" s="19" t="n">
        <f aca="false">IF(AND(C92&gt;12,F80="",AD92&gt;$A$4),AH80*2*(1+N80),IF(AD92&gt;=$A$4/2,AD92,AD92))</f>
        <v>2663.11278503018</v>
      </c>
      <c r="AI92" s="19" t="n">
        <f aca="false">IF(AND(C92&gt;12,F80="",AD92&gt;$A$4),AH80*2*(1+N80),IF(AD92&gt;=$A$4/2,AD92,AH104/2/(1+N92)))</f>
        <v>2663.11278503018</v>
      </c>
      <c r="AJ92" s="85" t="n">
        <f aca="false">IF(Q92&gt;0,((R92*10^12/PI()/A92^2/D92^2-Paramètres!$B$7*E92^2)*4/PI()/Paramètres!$B$8+E92^2)^0.5,"")</f>
        <v>0.912755162996739</v>
      </c>
      <c r="AK92" s="12" t="n">
        <f aca="false">PI()*Paramètres!$B$7*(E92*A92*D92)^2/10^12</f>
        <v>673.166282017481</v>
      </c>
      <c r="AL92" s="12" t="n">
        <f aca="false">AK92*G92</f>
        <v>2019.49884605244</v>
      </c>
      <c r="AM92" s="80" t="n">
        <f aca="false">AK92/AT92</f>
        <v>0.659482029897115</v>
      </c>
      <c r="AN92" s="85" t="n">
        <f aca="false">(-E92+0.1*Paramètres!$B$7/E92/Paramètres!$B$8/PI()*(AW92^2-E92^2)+(E92^2+3.8*Paramètres!$B$7/Paramètres!$B$8/PI()*(AW92^2-E92^2))^0.5)/2</f>
        <v>0.0314869065515588</v>
      </c>
      <c r="AO92" s="85" t="n">
        <f aca="false">VLOOKUP(C92,Paramètres!$C$30:$F$37,2,1)</f>
        <v>0.6</v>
      </c>
      <c r="AP92" s="85" t="n">
        <f aca="false">VLOOKUP(C92,Paramètres!$C$30:$F$37,4,1)</f>
        <v>0.8</v>
      </c>
      <c r="AQ92" s="11" t="b">
        <f aca="false">AND(I92&gt;=AO92,I92&lt;=AP92)</f>
        <v>1</v>
      </c>
      <c r="AR92" s="12" t="n">
        <f aca="false">HLOOKUP(H92,'Charge de rupture par diamètre'!$D$16:$AC$17,2,0)</f>
        <v>3</v>
      </c>
      <c r="AS92" s="12" t="n">
        <f aca="false">VLOOKUP(E92,'Charge de rupture par diamètre'!$C$16:$AC$53,AR92,1)</f>
        <v>1361</v>
      </c>
      <c r="AT92" s="12" t="n">
        <f aca="false">AS92*Paramètres!$B$9</f>
        <v>1020.75</v>
      </c>
      <c r="AU92" s="79" t="n">
        <f aca="false">PI()*A92^2*D92^2*(Paramètres!$B$7*E92^2+Paramètres!$B$8*PI()/4*(F92^2-E92^2))/10^12</f>
        <v>69.7033633478938</v>
      </c>
      <c r="AV92" s="13" t="n">
        <f aca="false">0.183*(-E92+(E92^2+4*Paramètres!$B$7/PI()/Paramètres!$B$8*(AW92^2-E92^2))^0.5)</f>
        <v>0.0114841948284033</v>
      </c>
      <c r="AW92" s="85" t="n">
        <f aca="false">(R92/PI()/Paramètres!$B$7)^0.5/A92/D92*10^6</f>
        <v>0.906458810207758</v>
      </c>
      <c r="AX92" s="12" t="e">
        <f aca="false">Q92*VLOOKUP(H92,Paramètres!$B$15:$C$18,2,0)*Paramètres!$B$9</f>
        <v>#N/A</v>
      </c>
      <c r="AY92" s="13" t="e">
        <f aca="false">(AX92/PI()/Paramètres!$B$7)^0.5/A92/D92*10^6</f>
        <v>#N/A</v>
      </c>
      <c r="AZ92" s="12" t="n">
        <f aca="false">(IF(F92&gt;0,(F92*F92 -E92*E92)/Paramètres!$B$7*Paramètres!$B$8,0)+E92*E92)*D92*G92</f>
        <v>158.2275</v>
      </c>
      <c r="BA92" s="80" t="n">
        <f aca="false">-1+AZ92/AZ91</f>
        <v>-0.0519480519480521</v>
      </c>
      <c r="BB92" s="80" t="n">
        <f aca="false">IF(F92&gt;0,"",0.234*Paramètres!$B$12*10^9*IF(F92&gt;0,E92,E92)^2/Paramètres!$B$7/A92^2/D92^4*10^6)</f>
        <v>0.0216085053279964</v>
      </c>
      <c r="BC92" s="11" t="n">
        <v>2</v>
      </c>
      <c r="BD92" s="80" t="n">
        <f aca="false">BC92*SQRT(1+L92*BC92^2)-BC92</f>
        <v>0.0561735786557835</v>
      </c>
      <c r="BE92" s="11" t="str">
        <f aca="false">IF(F92&gt;0,PI()^2*Paramètres!$B$12*10^9/8/O92*(E92^4+E92^2*F92^2)*10^-12/D92^2/10^-6,"-")</f>
        <v>-</v>
      </c>
      <c r="BF92" s="11" t="n">
        <f aca="false">IF(ISBLANK(D92),"-",PI()^3*E92^4*Paramètres!$B$12*10^9/64/O92/(D92/1000)^2*10^-12)</f>
        <v>0.0142406115976333</v>
      </c>
      <c r="BG92" s="90" t="n">
        <f aca="false">(Paramètres!$B$12*10^9)^0.5/Paramètres!$B$7/2/D92*1000</f>
        <v>392.150860382938</v>
      </c>
    </row>
    <row r="93" customFormat="false" ht="12.8" hidden="false" customHeight="false" outlineLevel="0" collapsed="false">
      <c r="A93" s="79" t="n">
        <f aca="false">IF(ISBLANK(D93),"-",IF(AND($A$6,$A$4/2&lt;AD93),AG93,AD93))</f>
        <v>2822.55525846646</v>
      </c>
      <c r="B93" s="79" t="str">
        <f aca="false">IF(ISBLANK(D93),"",VLOOKUP(MOD(C93-Paramètres!$B$54,12)+1,Paramètres!$B$40:$C$52,2)&amp;" "&amp;(TRUNC((C93-Paramètres!$B$54+120)/12)-10+1))</f>
        <v>Fa 6</v>
      </c>
      <c r="C93" s="11" t="n">
        <f aca="false">IF(ISBLANK(D93),"",C92+1)</f>
        <v>81</v>
      </c>
      <c r="D93" s="25" t="n">
        <v>69</v>
      </c>
      <c r="E93" s="6" t="n">
        <v>0.85</v>
      </c>
      <c r="F93" s="6"/>
      <c r="G93" s="25" t="n">
        <v>3</v>
      </c>
      <c r="H93" s="25" t="s">
        <v>73</v>
      </c>
      <c r="I93" s="80" t="n">
        <f aca="false">IF(ISBLANK(D93),"",IF(F93&gt;0,AU93/AT93,AM93))</f>
        <v>0.662096176450762</v>
      </c>
      <c r="J93" s="81" t="str">
        <f aca="false">IF(ISBLANK(D93),"",IF(AQ93,"","]"&amp;AO93&amp;" -- "&amp;AP93&amp;"["))</f>
        <v/>
      </c>
      <c r="K93" s="80" t="n">
        <f aca="false">IF(ISBLANK(D93),"",BA93)</f>
        <v>-0.0547945205479451</v>
      </c>
      <c r="L93" s="82" t="n">
        <f aca="false">IF(ISBLANK(D93),"",IF(F93&gt;0,BF93,BF93))</f>
        <v>0.0158766205922317</v>
      </c>
      <c r="M93" s="80" t="n">
        <f aca="false">IF(ISBLANK(D93),"",IF(F93&gt;0,"-",N93/(2^(1/12)-1)))</f>
        <v>0.40049935417841</v>
      </c>
      <c r="N93" s="83" t="n">
        <f aca="false">IF(ISBLANK(D93),"",IF(F93&gt;0,"-",1.5*L93))</f>
        <v>0.0238149308883476</v>
      </c>
      <c r="O93" s="12" t="n">
        <f aca="false">IF(ISBLANK(D93),"",IF(F93&gt;0,AU93,AK93))</f>
        <v>675.834672112115</v>
      </c>
      <c r="P93" s="12" t="n">
        <f aca="false">IF(ISBLANK(D93),"",IF(F93&gt;0,AU93*G93,AL93))</f>
        <v>2027.50401633634</v>
      </c>
      <c r="Q93" s="84" t="n">
        <v>0.75</v>
      </c>
      <c r="R93" s="12" t="n">
        <f aca="false">IF(ISBLANK(D93),"",AT93*Q93)</f>
        <v>765.5625</v>
      </c>
      <c r="S93" s="13" t="n">
        <f aca="false">IF(ISBLANK(D93),"",AJ93)</f>
        <v>0.910770600123651</v>
      </c>
      <c r="T93" s="85" t="str">
        <f aca="false">IF(ISBLANK(F93),"",ROUND(S93*10*G93,0)/10/G93)</f>
        <v/>
      </c>
      <c r="U93" s="86" t="str">
        <f aca="false">IF(F93&gt;0,(AJ93-E93)/2,"")</f>
        <v/>
      </c>
      <c r="V93" s="86" t="str">
        <f aca="false">IF(F93&gt;0,AN93,"")</f>
        <v/>
      </c>
      <c r="W93" s="87" t="str">
        <f aca="false">IF(F93&gt;0,IF(U93&lt;Paramètres!$B$5,"!!!",""),"")</f>
        <v/>
      </c>
      <c r="X93" s="88" t="str">
        <f aca="false">IF(U93&lt;&gt;"",IF(U93/3&gt;=Paramètres!$B$5,(S93-E93)/2/3,""),"")</f>
        <v/>
      </c>
      <c r="Y93" s="88" t="str">
        <f aca="false">IF(U93&lt;&gt;"",IF(U93/3&gt;=Paramètres!$B$5,AV93,""),"")</f>
        <v/>
      </c>
      <c r="Z93" s="88" t="str">
        <f aca="false">IF(X93&lt;&gt;"",Y93*2,"")</f>
        <v/>
      </c>
      <c r="AB93" s="1"/>
      <c r="AC93" s="79" t="str">
        <f aca="false">INDEX('Charge de rupture par diamètre'!$C$1:$AC$1,AR93)</f>
        <v>Stephen Paulello France</v>
      </c>
      <c r="AD93" s="13" t="n">
        <f aca="false">IF(ISBLANK(D93),"-",$A$4/16 * 2^((C93-1)/12))</f>
        <v>2793.82585146403</v>
      </c>
      <c r="AE93" s="13" t="n">
        <f aca="false">AG93/(AG$9*SQRT(1+$L93*AG$9^2))</f>
        <v>2800.41225988427</v>
      </c>
      <c r="AF93" s="13" t="n">
        <f aca="false">$AE93*AF$9*SQRT(1+$L93*AF$9^2)</f>
        <v>5775.93153437827</v>
      </c>
      <c r="AG93" s="13" t="n">
        <f aca="false">AF81</f>
        <v>2822.55525846646</v>
      </c>
      <c r="AH93" s="19" t="n">
        <f aca="false">IF(AND(C93&gt;12,F81="",AD93&gt;$A$4),AH81*2*(1+N81),IF(AD93&gt;=$A$4/2,AD93,AD93))</f>
        <v>2823.02647141384</v>
      </c>
      <c r="AI93" s="19" t="n">
        <f aca="false">IF(AND(C93&gt;12,F81="",AD93&gt;$A$4),AH81*2*(1+N81),IF(AD93&gt;=$A$4/2,AD93,AH105/2/(1+N93)))</f>
        <v>2823.02647141384</v>
      </c>
      <c r="AJ93" s="85" t="n">
        <f aca="false">IF(Q93&gt;0,((R93*10^12/PI()/A93^2/D93^2-Paramètres!$B$7*E93^2)*4/PI()/Paramètres!$B$8+E93^2)^0.5,"")</f>
        <v>0.910770600123651</v>
      </c>
      <c r="AK93" s="12" t="n">
        <f aca="false">PI()*Paramètres!$B$7*(E93*A93*D93)^2/10^12</f>
        <v>675.834672112115</v>
      </c>
      <c r="AL93" s="12" t="n">
        <f aca="false">AK93*G93</f>
        <v>2027.50401633634</v>
      </c>
      <c r="AM93" s="80" t="n">
        <f aca="false">AK93/AT93</f>
        <v>0.662096176450762</v>
      </c>
      <c r="AN93" s="85" t="n">
        <f aca="false">(-E93+0.1*Paramètres!$B$7/E93/Paramètres!$B$8/PI()*(AW93^2-E93^2)+(E93^2+3.8*Paramètres!$B$7/Paramètres!$B$8/PI()*(AW93^2-E93^2))^0.5)/2</f>
        <v>0.0304879201693666</v>
      </c>
      <c r="AO93" s="85" t="n">
        <f aca="false">VLOOKUP(C93,Paramètres!$C$30:$F$37,2,1)</f>
        <v>0.6</v>
      </c>
      <c r="AP93" s="85" t="n">
        <f aca="false">VLOOKUP(C93,Paramètres!$C$30:$F$37,4,1)</f>
        <v>0.8</v>
      </c>
      <c r="AQ93" s="11" t="b">
        <f aca="false">AND(I93&gt;=AO93,I93&lt;=AP93)</f>
        <v>1</v>
      </c>
      <c r="AR93" s="12" t="n">
        <f aca="false">HLOOKUP(H93,'Charge de rupture par diamètre'!$D$16:$AC$17,2,0)</f>
        <v>3</v>
      </c>
      <c r="AS93" s="12" t="n">
        <f aca="false">VLOOKUP(E93,'Charge de rupture par diamètre'!$C$16:$AC$53,AR93,1)</f>
        <v>1361</v>
      </c>
      <c r="AT93" s="12" t="n">
        <f aca="false">AS93*Paramètres!$B$9</f>
        <v>1020.75</v>
      </c>
      <c r="AU93" s="79" t="n">
        <f aca="false">PI()*A93^2*D93^2*(Paramètres!$B$7*E93^2+Paramètres!$B$8*PI()/4*(F93^2-E93^2))/10^12</f>
        <v>69.9796632299419</v>
      </c>
      <c r="AV93" s="13" t="n">
        <f aca="false">0.183*(-E93+(E93^2+4*Paramètres!$B$7/PI()/Paramètres!$B$8*(AW93^2-E93^2))^0.5)</f>
        <v>0.011121019822628</v>
      </c>
      <c r="AW93" s="85" t="n">
        <f aca="false">(R93/PI()/Paramètres!$B$7)^0.5/A93/D93*10^6</f>
        <v>0.904667560031477</v>
      </c>
      <c r="AX93" s="12" t="e">
        <f aca="false">Q93*VLOOKUP(H93,Paramètres!$B$15:$C$18,2,0)*Paramètres!$B$9</f>
        <v>#N/A</v>
      </c>
      <c r="AY93" s="13" t="e">
        <f aca="false">(AX93/PI()/Paramètres!$B$7)^0.5/A93/D93*10^6</f>
        <v>#N/A</v>
      </c>
      <c r="AZ93" s="12" t="n">
        <f aca="false">(IF(F93&gt;0,(F93*F93 -E93*E93)/Paramètres!$B$7*Paramètres!$B$8,0)+E93*E93)*D93*G93</f>
        <v>149.5575</v>
      </c>
      <c r="BA93" s="80" t="n">
        <f aca="false">-1+AZ93/AZ92</f>
        <v>-0.0547945205479451</v>
      </c>
      <c r="BB93" s="80" t="n">
        <f aca="false">IF(F93&gt;0,"",0.234*Paramètres!$B$12*10^9*IF(F93&gt;0,E93,E93)^2/Paramètres!$B$7/A93^2/D93^4*10^6)</f>
        <v>0.024090962547903</v>
      </c>
      <c r="BC93" s="11" t="n">
        <v>2</v>
      </c>
      <c r="BD93" s="80" t="n">
        <f aca="false">BC93*SQRT(1+L93*BC93^2)-BC93</f>
        <v>0.0625290130021705</v>
      </c>
      <c r="BE93" s="11" t="str">
        <f aca="false">IF(F93&gt;0,PI()^2*Paramètres!$B$12*10^9/8/O93*(E93^4+E93^2*F93^2)*10^-12/D93^2/10^-6,"-")</f>
        <v>-</v>
      </c>
      <c r="BF93" s="11" t="n">
        <f aca="false">IF(ISBLANK(D93),"-",PI()^3*E93^4*Paramètres!$B$12*10^9/64/O93/(D93/1000)^2*10^-12)</f>
        <v>0.0158766205922317</v>
      </c>
      <c r="BG93" s="90" t="n">
        <f aca="false">(Paramètres!$B$12*10^9)^0.5/Paramètres!$B$7/2/D93*1000</f>
        <v>414.884243593543</v>
      </c>
    </row>
    <row r="94" customFormat="false" ht="12.8" hidden="false" customHeight="false" outlineLevel="0" collapsed="false">
      <c r="A94" s="79" t="n">
        <f aca="false">IF(ISBLANK(D94),"-",IF(AND($A$6,$A$4/2&lt;AD94),AG94,AD94))</f>
        <v>2992.62333543576</v>
      </c>
      <c r="B94" s="79" t="str">
        <f aca="false">IF(ISBLANK(D94),"",VLOOKUP(MOD(C94-Paramètres!$B$54,12)+1,Paramètres!$B$40:$C$52,2)&amp;" "&amp;(TRUNC((C94-Paramètres!$B$54+120)/12)-10+1))</f>
        <v>Fa# 6</v>
      </c>
      <c r="C94" s="11" t="n">
        <f aca="false">IF(ISBLANK(D94),"",C93+1)</f>
        <v>82</v>
      </c>
      <c r="D94" s="25" t="n">
        <v>65</v>
      </c>
      <c r="E94" s="6" t="n">
        <v>0.85</v>
      </c>
      <c r="F94" s="6"/>
      <c r="G94" s="25" t="n">
        <v>3</v>
      </c>
      <c r="H94" s="25" t="s">
        <v>73</v>
      </c>
      <c r="I94" s="80" t="n">
        <f aca="false">IF(ISBLANK(D94),"",IF(F94&gt;0,AU94/AT94,AM94))</f>
        <v>0.660493916279312</v>
      </c>
      <c r="J94" s="81" t="str">
        <f aca="false">IF(ISBLANK(D94),"",IF(AQ94,"","]"&amp;AO94&amp;" -- "&amp;AP94&amp;"["))</f>
        <v/>
      </c>
      <c r="K94" s="80" t="n">
        <f aca="false">IF(ISBLANK(D94),"",BA94)</f>
        <v>-0.0579710144927536</v>
      </c>
      <c r="L94" s="82" t="n">
        <f aca="false">IF(ISBLANK(D94),"",IF(F94&gt;0,BF94,BF94))</f>
        <v>0.017934191085726</v>
      </c>
      <c r="M94" s="80" t="n">
        <f aca="false">IF(ISBLANK(D94),"",IF(F94&gt;0,"-",N94/(2^(1/12)-1)))</f>
        <v>0.452403073174139</v>
      </c>
      <c r="N94" s="83" t="n">
        <f aca="false">IF(ISBLANK(D94),"",IF(F94&gt;0,"-",1.5*L94))</f>
        <v>0.026901286628589</v>
      </c>
      <c r="O94" s="12" t="n">
        <f aca="false">IF(ISBLANK(D94),"",IF(F94&gt;0,AU94,AK94))</f>
        <v>674.199165042107</v>
      </c>
      <c r="P94" s="12" t="n">
        <f aca="false">IF(ISBLANK(D94),"",IF(F94&gt;0,AU94*G94,AL94))</f>
        <v>2022.59749512632</v>
      </c>
      <c r="Q94" s="84" t="n">
        <v>0.75</v>
      </c>
      <c r="R94" s="12" t="n">
        <f aca="false">IF(ISBLANK(D94),"",AT94*Q94)</f>
        <v>765.5625</v>
      </c>
      <c r="S94" s="13" t="n">
        <f aca="false">IF(ISBLANK(D94),"",AJ94)</f>
        <v>0.911985625716575</v>
      </c>
      <c r="T94" s="85" t="str">
        <f aca="false">IF(ISBLANK(F94),"",ROUND(S94*10*G94,0)/10/G94)</f>
        <v/>
      </c>
      <c r="U94" s="86" t="str">
        <f aca="false">IF(F94&gt;0,(AJ94-E94)/2,"")</f>
        <v/>
      </c>
      <c r="V94" s="86" t="str">
        <f aca="false">IF(F94&gt;0,AN94,"")</f>
        <v/>
      </c>
      <c r="W94" s="87" t="str">
        <f aca="false">IF(F94&gt;0,IF(U94&lt;Paramètres!$B$5,"!!!",""),"")</f>
        <v/>
      </c>
      <c r="X94" s="88" t="str">
        <f aca="false">IF(U94&lt;&gt;"",IF(U94/3&gt;=Paramètres!$B$5,(S94-E94)/2/3,""),"")</f>
        <v/>
      </c>
      <c r="Y94" s="88" t="str">
        <f aca="false">IF(U94&lt;&gt;"",IF(U94/3&gt;=Paramètres!$B$5,AV94,""),"")</f>
        <v/>
      </c>
      <c r="Z94" s="88" t="str">
        <f aca="false">IF(X94&lt;&gt;"",Y94*2,"")</f>
        <v/>
      </c>
      <c r="AB94" s="1"/>
      <c r="AC94" s="79" t="str">
        <f aca="false">INDEX('Charge de rupture par diamètre'!$C$1:$AC$1,AR94)</f>
        <v>Stephen Paulello France</v>
      </c>
      <c r="AD94" s="13" t="n">
        <f aca="false">IF(ISBLANK(D94),"-",$A$4/16 * 2^((C94-1)/12))</f>
        <v>2959.95538169308</v>
      </c>
      <c r="AE94" s="13" t="n">
        <f aca="false">AG94/(AG$9*SQRT(1+$L94*AG$9^2))</f>
        <v>2966.1438348053</v>
      </c>
      <c r="AF94" s="13" t="n">
        <f aca="false">$AE94*AF$9*SQRT(1+$L94*AF$9^2)</f>
        <v>6141.38419736725</v>
      </c>
      <c r="AG94" s="13" t="n">
        <f aca="false">AF82</f>
        <v>2992.62333543576</v>
      </c>
      <c r="AH94" s="19" t="n">
        <f aca="false">IF(AND(C94&gt;12,F82="",AD94&gt;$A$4),AH82*2*(1+N82),IF(AD94&gt;=$A$4/2,AD94,AD94))</f>
        <v>2993.08796928375</v>
      </c>
      <c r="AI94" s="19" t="n">
        <f aca="false">IF(AND(C94&gt;12,F82="",AD94&gt;$A$4),AH82*2*(1+N82),IF(AD94&gt;=$A$4/2,AD94,AH106/2/(1+N94)))</f>
        <v>2993.08796928375</v>
      </c>
      <c r="AJ94" s="85" t="n">
        <f aca="false">IF(Q94&gt;0,((R94*10^12/PI()/A94^2/D94^2-Paramètres!$B$7*E94^2)*4/PI()/Paramètres!$B$8+E94^2)^0.5,"")</f>
        <v>0.911985625716575</v>
      </c>
      <c r="AK94" s="12" t="n">
        <f aca="false">PI()*Paramètres!$B$7*(E94*A94*D94)^2/10^12</f>
        <v>674.199165042107</v>
      </c>
      <c r="AL94" s="12" t="n">
        <f aca="false">AK94*G94</f>
        <v>2022.59749512632</v>
      </c>
      <c r="AM94" s="80" t="n">
        <f aca="false">AK94/AT94</f>
        <v>0.660493916279312</v>
      </c>
      <c r="AN94" s="85" t="n">
        <f aca="false">(-E94+0.1*Paramètres!$B$7/E94/Paramètres!$B$8/PI()*(AW94^2-E94^2)+(E94^2+3.8*Paramètres!$B$7/Paramètres!$B$8/PI()*(AW94^2-E94^2))^0.5)/2</f>
        <v>0.0310995135548446</v>
      </c>
      <c r="AO94" s="85" t="n">
        <f aca="false">VLOOKUP(C94,Paramètres!$C$30:$F$37,2,1)</f>
        <v>0.6</v>
      </c>
      <c r="AP94" s="85" t="n">
        <f aca="false">VLOOKUP(C94,Paramètres!$C$30:$F$37,4,1)</f>
        <v>0.8</v>
      </c>
      <c r="AQ94" s="11" t="b">
        <f aca="false">AND(I94&gt;=AO94,I94&lt;=AP94)</f>
        <v>1</v>
      </c>
      <c r="AR94" s="12" t="n">
        <f aca="false">HLOOKUP(H94,'Charge de rupture par diamètre'!$D$16:$AC$17,2,0)</f>
        <v>3</v>
      </c>
      <c r="AS94" s="12" t="n">
        <f aca="false">VLOOKUP(E94,'Charge de rupture par diamètre'!$C$16:$AC$53,AR94,1)</f>
        <v>1361</v>
      </c>
      <c r="AT94" s="12" t="n">
        <f aca="false">AS94*Paramètres!$B$9</f>
        <v>1020.75</v>
      </c>
      <c r="AU94" s="79" t="n">
        <f aca="false">PI()*A94^2*D94^2*(Paramètres!$B$7*E94^2+Paramètres!$B$8*PI()/4*(F94^2-E94^2))/10^12</f>
        <v>69.8103137740881</v>
      </c>
      <c r="AV94" s="13" t="n">
        <f aca="false">0.183*(-E94+(E94^2+4*Paramètres!$B$7/PI()/Paramètres!$B$8*(AW94^2-E94^2))^0.5)</f>
        <v>0.0113433695061331</v>
      </c>
      <c r="AW94" s="85" t="n">
        <f aca="false">(R94/PI()/Paramètres!$B$7)^0.5/A94/D94*10^6</f>
        <v>0.905764189957255</v>
      </c>
      <c r="AX94" s="12" t="e">
        <f aca="false">Q94*VLOOKUP(H94,Paramètres!$B$15:$C$18,2,0)*Paramètres!$B$9</f>
        <v>#N/A</v>
      </c>
      <c r="AY94" s="13" t="e">
        <f aca="false">(AX94/PI()/Paramètres!$B$7)^0.5/A94/D94*10^6</f>
        <v>#N/A</v>
      </c>
      <c r="AZ94" s="12" t="n">
        <f aca="false">(IF(F94&gt;0,(F94*F94 -E94*E94)/Paramètres!$B$7*Paramètres!$B$8,0)+E94*E94)*D94*G94</f>
        <v>140.8875</v>
      </c>
      <c r="BA94" s="80" t="n">
        <f aca="false">-1+AZ94/AZ93</f>
        <v>-0.0579710144927536</v>
      </c>
      <c r="BB94" s="80" t="n">
        <f aca="false">IF(F94&gt;0,"",0.234*Paramètres!$B$12*10^9*IF(F94&gt;0,E94,E94)^2/Paramètres!$B$7/A94^2/D94^4*10^6)</f>
        <v>0.027213091303861</v>
      </c>
      <c r="BC94" s="11" t="n">
        <v>2</v>
      </c>
      <c r="BD94" s="80" t="n">
        <f aca="false">BC94*SQRT(1+L94*BC94^2)-BC94</f>
        <v>0.0704943992611078</v>
      </c>
      <c r="BE94" s="11" t="str">
        <f aca="false">IF(F94&gt;0,PI()^2*Paramètres!$B$12*10^9/8/O94*(E94^4+E94^2*F94^2)*10^-12/D94^2/10^-6,"-")</f>
        <v>-</v>
      </c>
      <c r="BF94" s="11" t="n">
        <f aca="false">IF(ISBLANK(D94),"-",PI()^3*E94^4*Paramètres!$B$12*10^9/64/O94/(D94/1000)^2*10^-12)</f>
        <v>0.017934191085726</v>
      </c>
      <c r="BG94" s="90" t="n">
        <f aca="false">(Paramètres!$B$12*10^9)^0.5/Paramètres!$B$7/2/D94*1000</f>
        <v>440.415581660838</v>
      </c>
    </row>
    <row r="95" customFormat="false" ht="12.8" hidden="false" customHeight="false" outlineLevel="0" collapsed="false">
      <c r="A95" s="79" t="n">
        <f aca="false">IF(ISBLANK(D95),"-",IF(AND($A$6,$A$4/2&lt;AD95),AG95,AD95))</f>
        <v>3175.10911343177</v>
      </c>
      <c r="B95" s="79" t="str">
        <f aca="false">IF(ISBLANK(D95),"",VLOOKUP(MOD(C95-Paramètres!$B$54,12)+1,Paramètres!$B$40:$C$52,2)&amp;" "&amp;(TRUNC((C95-Paramètres!$B$54+120)/12)-10+1))</f>
        <v>Sol 6</v>
      </c>
      <c r="C95" s="11" t="n">
        <f aca="false">IF(ISBLANK(D95),"",C94+1)</f>
        <v>83</v>
      </c>
      <c r="D95" s="25" t="n">
        <v>62</v>
      </c>
      <c r="E95" s="6" t="n">
        <v>0.85</v>
      </c>
      <c r="F95" s="6"/>
      <c r="G95" s="25" t="n">
        <v>3</v>
      </c>
      <c r="H95" s="25" t="s">
        <v>73</v>
      </c>
      <c r="I95" s="80" t="n">
        <f aca="false">IF(ISBLANK(D95),"",IF(F95&gt;0,AU95/AT95,AM95))</f>
        <v>0.676454640373616</v>
      </c>
      <c r="J95" s="81" t="str">
        <f aca="false">IF(ISBLANK(D95),"",IF(AQ95,"","]"&amp;AO95&amp;" -- "&amp;AP95&amp;"["))</f>
        <v/>
      </c>
      <c r="K95" s="80" t="n">
        <f aca="false">IF(ISBLANK(D95),"",BA95)</f>
        <v>-0.0461538461538461</v>
      </c>
      <c r="L95" s="82" t="n">
        <f aca="false">IF(ISBLANK(D95),"",IF(F95&gt;0,BF95,BF95))</f>
        <v>0.0192466553067319</v>
      </c>
      <c r="M95" s="80" t="n">
        <f aca="false">IF(ISBLANK(D95),"",IF(F95&gt;0,"-",N95/(2^(1/12)-1)))</f>
        <v>0.485510942058549</v>
      </c>
      <c r="N95" s="83" t="n">
        <f aca="false">IF(ISBLANK(D95),"",IF(F95&gt;0,"-",1.5*L95))</f>
        <v>0.0288699829600979</v>
      </c>
      <c r="O95" s="12" t="n">
        <f aca="false">IF(ISBLANK(D95),"",IF(F95&gt;0,AU95,AK95))</f>
        <v>690.491074161369</v>
      </c>
      <c r="P95" s="12" t="n">
        <f aca="false">IF(ISBLANK(D95),"",IF(F95&gt;0,AU95*G95,AL95))</f>
        <v>2071.47322248411</v>
      </c>
      <c r="Q95" s="84" t="n">
        <v>0.75</v>
      </c>
      <c r="R95" s="12" t="n">
        <f aca="false">IF(ISBLANK(D95),"",AT95*Q95)</f>
        <v>765.5625</v>
      </c>
      <c r="S95" s="13" t="n">
        <f aca="false">IF(ISBLANK(D95),"",AJ95)</f>
        <v>0.900069237977234</v>
      </c>
      <c r="T95" s="85" t="str">
        <f aca="false">IF(ISBLANK(F95),"",ROUND(S95*10*G95,0)/10/G95)</f>
        <v/>
      </c>
      <c r="U95" s="86" t="str">
        <f aca="false">IF(F95&gt;0,(AJ95-E95)/2,"")</f>
        <v/>
      </c>
      <c r="V95" s="86" t="str">
        <f aca="false">IF(F95&gt;0,AN95,"")</f>
        <v/>
      </c>
      <c r="W95" s="87" t="str">
        <f aca="false">IF(F95&gt;0,IF(U95&lt;Paramètres!$B$5,"!!!",""),"")</f>
        <v/>
      </c>
      <c r="X95" s="88" t="str">
        <f aca="false">IF(U95&lt;&gt;"",IF(U95/3&gt;=Paramètres!$B$5,(S95-E95)/2/3,""),"")</f>
        <v/>
      </c>
      <c r="Y95" s="88" t="str">
        <f aca="false">IF(U95&lt;&gt;"",IF(U95/3&gt;=Paramètres!$B$5,AV95,""),"")</f>
        <v/>
      </c>
      <c r="Z95" s="88" t="str">
        <f aca="false">IF(X95&lt;&gt;"",Y95*2,"")</f>
        <v/>
      </c>
      <c r="AB95" s="1"/>
      <c r="AC95" s="79" t="str">
        <f aca="false">INDEX('Charge de rupture par diamètre'!$C$1:$AC$1,AR95)</f>
        <v>Stephen Paulello France</v>
      </c>
      <c r="AD95" s="13" t="n">
        <f aca="false">IF(ISBLANK(D95),"-",$A$4/16 * 2^((C95-1)/12))</f>
        <v>3135.96348785399</v>
      </c>
      <c r="AE95" s="13" t="n">
        <f aca="false">AG95/(AG$9*SQRT(1+$L95*AG$9^2))</f>
        <v>3144.98810388069</v>
      </c>
      <c r="AF95" s="13" t="n">
        <f aca="false">$AE95*AF$9*SQRT(1+$L95*AF$9^2)</f>
        <v>6527.60936580512</v>
      </c>
      <c r="AG95" s="13" t="n">
        <f aca="false">AF83</f>
        <v>3175.10911343177</v>
      </c>
      <c r="AH95" s="19" t="n">
        <f aca="false">IF(AND(C95&gt;12,F83="",AD95&gt;$A$4),AH83*2*(1+N83),IF(AD95&gt;=$A$4/2,AD95,AD95))</f>
        <v>3175.59784773335</v>
      </c>
      <c r="AI95" s="19" t="n">
        <f aca="false">IF(AND(C95&gt;12,F83="",AD95&gt;$A$4),AH83*2*(1+N83),IF(AD95&gt;=$A$4/2,AD95,AH107/2/(1+N95)))</f>
        <v>3175.59784773335</v>
      </c>
      <c r="AJ95" s="85" t="n">
        <f aca="false">IF(Q95&gt;0,((R95*10^12/PI()/A95^2/D95^2-Paramètres!$B$7*E95^2)*4/PI()/Paramètres!$B$8+E95^2)^0.5,"")</f>
        <v>0.900069237977234</v>
      </c>
      <c r="AK95" s="12" t="n">
        <f aca="false">PI()*Paramètres!$B$7*(E95*A95*D95)^2/10^12</f>
        <v>690.491074161369</v>
      </c>
      <c r="AL95" s="12" t="n">
        <f aca="false">AK95*G95</f>
        <v>2071.47322248411</v>
      </c>
      <c r="AM95" s="80" t="n">
        <f aca="false">AK95/AT95</f>
        <v>0.676454640373616</v>
      </c>
      <c r="AN95" s="85" t="n">
        <f aca="false">(-E95+0.1*Paramètres!$B$7/E95/Paramètres!$B$8/PI()*(AW95^2-E95^2)+(E95^2+3.8*Paramètres!$B$7/Paramètres!$B$8/PI()*(AW95^2-E95^2))^0.5)/2</f>
        <v>0.025104651597264</v>
      </c>
      <c r="AO95" s="85" t="n">
        <f aca="false">VLOOKUP(C95,Paramètres!$C$30:$F$37,2,1)</f>
        <v>0.6</v>
      </c>
      <c r="AP95" s="85" t="n">
        <f aca="false">VLOOKUP(C95,Paramètres!$C$30:$F$37,4,1)</f>
        <v>0.8</v>
      </c>
      <c r="AQ95" s="11" t="b">
        <f aca="false">AND(I95&gt;=AO95,I95&lt;=AP95)</f>
        <v>1</v>
      </c>
      <c r="AR95" s="12" t="n">
        <f aca="false">HLOOKUP(H95,'Charge de rupture par diamètre'!$D$16:$AC$17,2,0)</f>
        <v>3</v>
      </c>
      <c r="AS95" s="12" t="n">
        <f aca="false">VLOOKUP(E95,'Charge de rupture par diamètre'!$C$16:$AC$53,AR95,1)</f>
        <v>1361</v>
      </c>
      <c r="AT95" s="12" t="n">
        <f aca="false">AS95*Paramètres!$B$9</f>
        <v>1020.75</v>
      </c>
      <c r="AU95" s="79" t="n">
        <f aca="false">PI()*A95^2*D95^2*(Paramètres!$B$7*E95^2+Paramètres!$B$8*PI()/4*(F95^2-E95^2))/10^12</f>
        <v>71.4972682328993</v>
      </c>
      <c r="AV95" s="13" t="n">
        <f aca="false">0.183*(-E95+(E95^2+4*Paramètres!$B$7/PI()/Paramètres!$B$8*(AW95^2-E95^2))^0.5)</f>
        <v>0.00916267054983381</v>
      </c>
      <c r="AW95" s="85" t="n">
        <f aca="false">(R95/PI()/Paramètres!$B$7)^0.5/A95/D95*10^6</f>
        <v>0.895014800751706</v>
      </c>
      <c r="AX95" s="12" t="e">
        <f aca="false">Q95*VLOOKUP(H95,Paramètres!$B$15:$C$18,2,0)*Paramètres!$B$9</f>
        <v>#N/A</v>
      </c>
      <c r="AY95" s="13" t="e">
        <f aca="false">(AX95/PI()/Paramètres!$B$7)^0.5/A95/D95*10^6</f>
        <v>#N/A</v>
      </c>
      <c r="AZ95" s="12" t="n">
        <f aca="false">(IF(F95&gt;0,(F95*F95 -E95*E95)/Paramètres!$B$7*Paramètres!$B$8,0)+E95*E95)*D95*G95</f>
        <v>134.385</v>
      </c>
      <c r="BA95" s="80" t="n">
        <f aca="false">-1+AZ95/AZ94</f>
        <v>-0.0461538461538461</v>
      </c>
      <c r="BB95" s="80" t="n">
        <f aca="false">IF(F95&gt;0,"",0.234*Paramètres!$B$12*10^9*IF(F95&gt;0,E95,E95)^2/Paramètres!$B$7/A95^2/D95^4*10^6)</f>
        <v>0.0292046061989884</v>
      </c>
      <c r="BC95" s="11" t="n">
        <v>2</v>
      </c>
      <c r="BD95" s="80" t="n">
        <f aca="false">BC95*SQRT(1+L95*BC95^2)-BC95</f>
        <v>0.0755593185711918</v>
      </c>
      <c r="BE95" s="11" t="str">
        <f aca="false">IF(F95&gt;0,PI()^2*Paramètres!$B$12*10^9/8/O95*(E95^4+E95^2*F95^2)*10^-12/D95^2/10^-6,"-")</f>
        <v>-</v>
      </c>
      <c r="BF95" s="11" t="n">
        <f aca="false">IF(ISBLANK(D95),"-",PI()^3*E95^4*Paramètres!$B$12*10^9/64/O95/(D95/1000)^2*10^-12)</f>
        <v>0.0192466553067319</v>
      </c>
      <c r="BG95" s="90" t="n">
        <f aca="false">(Paramètres!$B$12*10^9)^0.5/Paramètres!$B$7/2/D95*1000</f>
        <v>461.726013031523</v>
      </c>
    </row>
    <row r="96" customFormat="false" ht="12.8" hidden="false" customHeight="false" outlineLevel="0" collapsed="false">
      <c r="A96" s="79" t="n">
        <f aca="false">IF(ISBLANK(D96),"-",IF(AND($A$6,$A$4/2&lt;AD96),AG96,AD96))</f>
        <v>3367.98284883323</v>
      </c>
      <c r="B96" s="79" t="str">
        <f aca="false">IF(ISBLANK(D96),"",VLOOKUP(MOD(C96-Paramètres!$B$54,12)+1,Paramètres!$B$40:$C$52,2)&amp;" "&amp;(TRUNC((C96-Paramètres!$B$54+120)/12)-10+1))</f>
        <v>Sol# 6</v>
      </c>
      <c r="C96" s="11" t="n">
        <f aca="false">IF(ISBLANK(D96),"",C95+1)</f>
        <v>84</v>
      </c>
      <c r="D96" s="25" t="n">
        <v>59</v>
      </c>
      <c r="E96" s="6" t="n">
        <v>0.85</v>
      </c>
      <c r="F96" s="6"/>
      <c r="G96" s="25" t="n">
        <v>3</v>
      </c>
      <c r="H96" s="25" t="s">
        <v>73</v>
      </c>
      <c r="I96" s="80" t="n">
        <f aca="false">IF(ISBLANK(D96),"",IF(F96&gt;0,AU96/AT96,AM96))</f>
        <v>0.689257908714835</v>
      </c>
      <c r="J96" s="81" t="str">
        <f aca="false">IF(ISBLANK(D96),"",IF(AQ96,"","]"&amp;AO96&amp;" -- "&amp;AP96&amp;"["))</f>
        <v/>
      </c>
      <c r="K96" s="80" t="n">
        <f aca="false">IF(ISBLANK(D96),"",BA96)</f>
        <v>-0.0483870967741935</v>
      </c>
      <c r="L96" s="82" t="n">
        <f aca="false">IF(ISBLANK(D96),"",IF(F96&gt;0,BF96,BF96))</f>
        <v>0.0208589069384705</v>
      </c>
      <c r="M96" s="80" t="n">
        <f aca="false">IF(ISBLANK(D96),"",IF(F96&gt;0,"-",N96/(2^(1/12)-1)))</f>
        <v>0.526181167408668</v>
      </c>
      <c r="N96" s="83" t="n">
        <f aca="false">IF(ISBLANK(D96),"",IF(F96&gt;0,"-",1.5*L96))</f>
        <v>0.0312883604077058</v>
      </c>
      <c r="O96" s="12" t="n">
        <f aca="false">IF(ISBLANK(D96),"",IF(F96&gt;0,AU96,AK96))</f>
        <v>703.560010320667</v>
      </c>
      <c r="P96" s="12" t="n">
        <f aca="false">IF(ISBLANK(D96),"",IF(F96&gt;0,AU96*G96,AL96))</f>
        <v>2110.680030962</v>
      </c>
      <c r="Q96" s="84" t="n">
        <v>0.75</v>
      </c>
      <c r="R96" s="12" t="n">
        <f aca="false">IF(ISBLANK(D96),"",AT96*Q96)</f>
        <v>765.5625</v>
      </c>
      <c r="S96" s="13" t="n">
        <f aca="false">IF(ISBLANK(D96),"",AJ96)</f>
        <v>0.890800785595834</v>
      </c>
      <c r="T96" s="85" t="str">
        <f aca="false">IF(ISBLANK(F96),"",ROUND(S96*10*G96,0)/10/G96)</f>
        <v/>
      </c>
      <c r="U96" s="86" t="str">
        <f aca="false">IF(F96&gt;0,(AJ96-E96)/2,"")</f>
        <v/>
      </c>
      <c r="V96" s="86" t="str">
        <f aca="false">IF(F96&gt;0,AN96,"")</f>
        <v/>
      </c>
      <c r="W96" s="87" t="str">
        <f aca="false">IF(F96&gt;0,IF(U96&lt;Paramètres!$B$5,"!!!",""),"")</f>
        <v/>
      </c>
      <c r="X96" s="88" t="str">
        <f aca="false">IF(U96&lt;&gt;"",IF(U96/3&gt;=Paramètres!$B$5,(S96-E96)/2/3,""),"")</f>
        <v/>
      </c>
      <c r="Y96" s="88" t="str">
        <f aca="false">IF(U96&lt;&gt;"",IF(U96/3&gt;=Paramètres!$B$5,AV96,""),"")</f>
        <v/>
      </c>
      <c r="Z96" s="88" t="str">
        <f aca="false">IF(X96&lt;&gt;"",Y96*2,"")</f>
        <v/>
      </c>
      <c r="AB96" s="1"/>
      <c r="AC96" s="79" t="str">
        <f aca="false">INDEX('Charge de rupture par diamètre'!$C$1:$AC$1,AR96)</f>
        <v>Stephen Paulello France</v>
      </c>
      <c r="AD96" s="13" t="n">
        <f aca="false">IF(ISBLANK(D96),"-",$A$4/16 * 2^((C96-1)/12))</f>
        <v>3322.43758063956</v>
      </c>
      <c r="AE96" s="13" t="n">
        <f aca="false">AG96/(AG$9*SQRT(1+$L96*AG$9^2))</f>
        <v>3333.39676847062</v>
      </c>
      <c r="AF96" s="13" t="n">
        <f aca="false">$AE96*AF$9*SQRT(1+$L96*AF$9^2)</f>
        <v>6939.34631849085</v>
      </c>
      <c r="AG96" s="13" t="n">
        <f aca="false">AF84</f>
        <v>3367.98284883323</v>
      </c>
      <c r="AH96" s="19" t="n">
        <f aca="false">IF(AND(C96&gt;12,F84="",AD96&gt;$A$4),AH84*2*(1+N84),IF(AD96&gt;=$A$4/2,AD96,AD96))</f>
        <v>3368.49633785348</v>
      </c>
      <c r="AI96" s="19" t="n">
        <f aca="false">IF(AND(C96&gt;12,F84="",AD96&gt;$A$4),AH84*2*(1+N84),IF(AD96&gt;=$A$4/2,AD96,AH108/2/(1+N96)))</f>
        <v>3368.49633785348</v>
      </c>
      <c r="AJ96" s="85" t="n">
        <f aca="false">IF(Q96&gt;0,((R96*10^12/PI()/A96^2/D96^2-Paramètres!$B$7*E96^2)*4/PI()/Paramètres!$B$8+E96^2)^0.5,"")</f>
        <v>0.890800785595834</v>
      </c>
      <c r="AK96" s="12" t="n">
        <f aca="false">PI()*Paramètres!$B$7*(E96*A96*D96)^2/10^12</f>
        <v>703.560010320667</v>
      </c>
      <c r="AL96" s="12" t="n">
        <f aca="false">AK96*G96</f>
        <v>2110.680030962</v>
      </c>
      <c r="AM96" s="80" t="n">
        <f aca="false">AK96/AT96</f>
        <v>0.689257908714835</v>
      </c>
      <c r="AN96" s="85" t="n">
        <f aca="false">(-E96+0.1*Paramètres!$B$7/E96/Paramètres!$B$8/PI()*(AW96^2-E96^2)+(E96^2+3.8*Paramètres!$B$7/Paramètres!$B$8/PI()*(AW96^2-E96^2))^0.5)/2</f>
        <v>0.0204471157969228</v>
      </c>
      <c r="AO96" s="85" t="n">
        <f aca="false">VLOOKUP(C96,Paramètres!$C$30:$F$37,2,1)</f>
        <v>0.6</v>
      </c>
      <c r="AP96" s="85" t="n">
        <f aca="false">VLOOKUP(C96,Paramètres!$C$30:$F$37,4,1)</f>
        <v>0.8</v>
      </c>
      <c r="AQ96" s="11" t="b">
        <f aca="false">AND(I96&gt;=AO96,I96&lt;=AP96)</f>
        <v>1</v>
      </c>
      <c r="AR96" s="12" t="n">
        <f aca="false">HLOOKUP(H96,'Charge de rupture par diamètre'!$D$16:$AC$17,2,0)</f>
        <v>3</v>
      </c>
      <c r="AS96" s="12" t="n">
        <f aca="false">VLOOKUP(E96,'Charge de rupture par diamètre'!$C$16:$AC$53,AR96,1)</f>
        <v>1361</v>
      </c>
      <c r="AT96" s="12" t="n">
        <f aca="false">AS96*Paramètres!$B$9</f>
        <v>1020.75</v>
      </c>
      <c r="AU96" s="79" t="n">
        <f aca="false">PI()*A96^2*D96^2*(Paramètres!$B$7*E96^2+Paramètres!$B$8*PI()/4*(F96^2-E96^2))/10^12</f>
        <v>72.8504982297314</v>
      </c>
      <c r="AV96" s="13" t="n">
        <f aca="false">0.183*(-E96+(E96^2+4*Paramètres!$B$7/PI()/Paramètres!$B$8*(AW96^2-E96^2))^0.5)</f>
        <v>0.00746654376403758</v>
      </c>
      <c r="AW96" s="85" t="n">
        <f aca="false">(R96/PI()/Paramètres!$B$7)^0.5/A96/D96*10^6</f>
        <v>0.886663188753646</v>
      </c>
      <c r="AX96" s="12" t="e">
        <f aca="false">Q96*VLOOKUP(H96,Paramètres!$B$15:$C$18,2,0)*Paramètres!$B$9</f>
        <v>#N/A</v>
      </c>
      <c r="AY96" s="13" t="e">
        <f aca="false">(AX96/PI()/Paramètres!$B$7)^0.5/A96/D96*10^6</f>
        <v>#N/A</v>
      </c>
      <c r="AZ96" s="12" t="n">
        <f aca="false">(IF(F96&gt;0,(F96*F96 -E96*E96)/Paramètres!$B$7*Paramètres!$B$8,0)+E96*E96)*D96*G96</f>
        <v>127.8825</v>
      </c>
      <c r="BA96" s="80" t="n">
        <f aca="false">-1+AZ96/AZ95</f>
        <v>-0.0483870967741935</v>
      </c>
      <c r="BB96" s="80" t="n">
        <f aca="false">IF(F96&gt;0,"",0.234*Paramètres!$B$12*10^9*IF(F96&gt;0,E96,E96)^2/Paramètres!$B$7/A96^2/D96^4*10^6)</f>
        <v>0.0316510143279963</v>
      </c>
      <c r="BC96" s="11" t="n">
        <v>2</v>
      </c>
      <c r="BD96" s="80" t="n">
        <f aca="false">BC96*SQRT(1+L96*BC96^2)-BC96</f>
        <v>0.0817642784464163</v>
      </c>
      <c r="BE96" s="11" t="str">
        <f aca="false">IF(F96&gt;0,PI()^2*Paramètres!$B$12*10^9/8/O96*(E96^4+E96^2*F96^2)*10^-12/D96^2/10^-6,"-")</f>
        <v>-</v>
      </c>
      <c r="BF96" s="11" t="n">
        <f aca="false">IF(ISBLANK(D96),"-",PI()^3*E96^4*Paramètres!$B$12*10^9/64/O96/(D96/1000)^2*10^-12)</f>
        <v>0.0208589069384705</v>
      </c>
      <c r="BG96" s="90" t="n">
        <f aca="false">(Paramètres!$B$12*10^9)^0.5/Paramètres!$B$7/2/D96*1000</f>
        <v>485.203606914482</v>
      </c>
    </row>
    <row r="97" customFormat="false" ht="12.8" hidden="false" customHeight="false" outlineLevel="0" collapsed="false">
      <c r="A97" s="79" t="n">
        <f aca="false">IF(ISBLANK(D97),"-",IF(AND($A$6,$A$4/2&lt;AD97),AG97,AD97))</f>
        <v>3574.68509218243</v>
      </c>
      <c r="B97" s="79" t="str">
        <f aca="false">IF(ISBLANK(D97),"",VLOOKUP(MOD(C97-Paramètres!$B$54,12)+1,Paramètres!$B$40:$C$52,2)&amp;" "&amp;(TRUNC((C97-Paramètres!$B$54+120)/12)-10+1))</f>
        <v>La 6</v>
      </c>
      <c r="C97" s="11" t="n">
        <f aca="false">IF(ISBLANK(D97),"",C96+1)</f>
        <v>85</v>
      </c>
      <c r="D97" s="25" t="n">
        <v>55</v>
      </c>
      <c r="E97" s="6" t="n">
        <v>0.85</v>
      </c>
      <c r="F97" s="6"/>
      <c r="G97" s="25" t="n">
        <v>3</v>
      </c>
      <c r="H97" s="25" t="s">
        <v>73</v>
      </c>
      <c r="I97" s="80" t="n">
        <f aca="false">IF(ISBLANK(D97),"",IF(F97&gt;0,AU97/AT97,AM97))</f>
        <v>0.674743872853834</v>
      </c>
      <c r="J97" s="81" t="str">
        <f aca="false">IF(ISBLANK(D97),"",IF(AQ97,"","]"&amp;AO97&amp;" -- "&amp;AP97&amp;"["))</f>
        <v>]0,7 -- 0,82[</v>
      </c>
      <c r="K97" s="80" t="n">
        <f aca="false">IF(ISBLANK(D97),"",BA97)</f>
        <v>-0.0677966101694916</v>
      </c>
      <c r="L97" s="82" t="n">
        <f aca="false">IF(ISBLANK(D97),"",IF(F97&gt;0,BF97,BF97))</f>
        <v>0.0245195784452964</v>
      </c>
      <c r="M97" s="80" t="n">
        <f aca="false">IF(ISBLANK(D97),"",IF(F97&gt;0,"-",N97/(2^(1/12)-1)))</f>
        <v>0.618524280719596</v>
      </c>
      <c r="N97" s="83" t="n">
        <f aca="false">IF(ISBLANK(D97),"",IF(F97&gt;0,"-",1.5*L97))</f>
        <v>0.0367793676679446</v>
      </c>
      <c r="O97" s="12" t="n">
        <f aca="false">IF(ISBLANK(D97),"",IF(F97&gt;0,AU97,AK97))</f>
        <v>688.744808215551</v>
      </c>
      <c r="P97" s="12" t="n">
        <f aca="false">IF(ISBLANK(D97),"",IF(F97&gt;0,AU97*G97,AL97))</f>
        <v>2066.23442464665</v>
      </c>
      <c r="Q97" s="84" t="n">
        <v>0.75</v>
      </c>
      <c r="R97" s="12" t="n">
        <f aca="false">IF(ISBLANK(D97),"",AT97*Q97)</f>
        <v>765.5625</v>
      </c>
      <c r="S97" s="13" t="n">
        <f aca="false">IF(ISBLANK(D97),"",AJ97)</f>
        <v>0.901326932043303</v>
      </c>
      <c r="T97" s="85" t="str">
        <f aca="false">IF(ISBLANK(F97),"",ROUND(S97*10*G97,0)/10/G97)</f>
        <v/>
      </c>
      <c r="U97" s="86" t="str">
        <f aca="false">IF(F97&gt;0,(AJ97-E97)/2,"")</f>
        <v/>
      </c>
      <c r="V97" s="86" t="str">
        <f aca="false">IF(F97&gt;0,AN97,"")</f>
        <v/>
      </c>
      <c r="W97" s="87" t="str">
        <f aca="false">IF(F97&gt;0,IF(U97&lt;Paramètres!$B$5,"!!!",""),"")</f>
        <v/>
      </c>
      <c r="X97" s="88" t="str">
        <f aca="false">IF(U97&lt;&gt;"",IF(U97/3&gt;=Paramètres!$B$5,(S97-E97)/2/3,""),"")</f>
        <v/>
      </c>
      <c r="Y97" s="88" t="str">
        <f aca="false">IF(U97&lt;&gt;"",IF(U97/3&gt;=Paramètres!$B$5,AV97,""),"")</f>
        <v/>
      </c>
      <c r="Z97" s="88" t="str">
        <f aca="false">IF(X97&lt;&gt;"",Y97*2,"")</f>
        <v/>
      </c>
      <c r="AB97" s="1"/>
      <c r="AC97" s="79" t="str">
        <f aca="false">INDEX('Charge de rupture par diamètre'!$C$1:$AC$1,AR97)</f>
        <v>Stephen Paulello France</v>
      </c>
      <c r="AD97" s="13" t="n">
        <f aca="false">IF(ISBLANK(D97),"-",$A$4/16 * 2^((C97-1)/12))</f>
        <v>3520</v>
      </c>
      <c r="AE97" s="13" t="n">
        <f aca="false">AG97/(AG$9*SQRT(1+$L97*AG$9^2))</f>
        <v>3531.6500104192</v>
      </c>
      <c r="AF97" s="13" t="n">
        <f aca="false">$AE97*AF$9*SQRT(1+$L97*AF$9^2)</f>
        <v>7401.57784389338</v>
      </c>
      <c r="AG97" s="13" t="n">
        <f aca="false">AF85</f>
        <v>3574.68509218243</v>
      </c>
      <c r="AH97" s="19" t="n">
        <f aca="false">IF(AND(C97&gt;12,F85="",AD97&gt;$A$4),AH85*2*(1+N85),IF(AD97&gt;=$A$4/2,AD97,AD97))</f>
        <v>3575.28915710035</v>
      </c>
      <c r="AI97" s="19" t="n">
        <f aca="false">IF(AND(C97&gt;12,F85="",AD97&gt;$A$4),AH85*2*(1+N85),IF(AD97&gt;=$A$4/2,AD97,AH109/2/(1+N97)))</f>
        <v>3575.28915710035</v>
      </c>
      <c r="AJ97" s="85" t="n">
        <f aca="false">IF(Q97&gt;0,((R97*10^12/PI()/A97^2/D97^2-Paramètres!$B$7*E97^2)*4/PI()/Paramètres!$B$8+E97^2)^0.5,"")</f>
        <v>0.901326932043303</v>
      </c>
      <c r="AK97" s="12" t="n">
        <f aca="false">PI()*Paramètres!$B$7*(E97*A97*D97)^2/10^12</f>
        <v>688.744808215551</v>
      </c>
      <c r="AL97" s="12" t="n">
        <f aca="false">AK97*G97</f>
        <v>2066.23442464665</v>
      </c>
      <c r="AM97" s="80" t="n">
        <f aca="false">AK97/AT97</f>
        <v>0.674743872853834</v>
      </c>
      <c r="AN97" s="85" t="n">
        <f aca="false">(-E97+0.1*Paramètres!$B$7/E97/Paramètres!$B$8/PI()*(AW97^2-E97^2)+(E97^2+3.8*Paramètres!$B$7/Paramètres!$B$8/PI()*(AW97^2-E97^2))^0.5)/2</f>
        <v>0.0257370147350668</v>
      </c>
      <c r="AO97" s="85" t="n">
        <f aca="false">VLOOKUP(C97,Paramètres!$C$30:$F$37,2,1)</f>
        <v>0.7</v>
      </c>
      <c r="AP97" s="85" t="n">
        <f aca="false">VLOOKUP(C97,Paramètres!$C$30:$F$37,4,1)</f>
        <v>0.82</v>
      </c>
      <c r="AQ97" s="11" t="b">
        <f aca="false">AND(I97&gt;=AO97,I97&lt;=AP97)</f>
        <v>0</v>
      </c>
      <c r="AR97" s="12" t="n">
        <f aca="false">HLOOKUP(H97,'Charge de rupture par diamètre'!$D$16:$AC$17,2,0)</f>
        <v>3</v>
      </c>
      <c r="AS97" s="12" t="n">
        <f aca="false">VLOOKUP(E97,'Charge de rupture par diamètre'!$C$16:$AC$53,AR97,1)</f>
        <v>1361</v>
      </c>
      <c r="AT97" s="12" t="n">
        <f aca="false">AS97*Paramètres!$B$9</f>
        <v>1020.75</v>
      </c>
      <c r="AU97" s="79" t="n">
        <f aca="false">PI()*A97^2*D97^2*(Paramètres!$B$7*E97^2+Paramètres!$B$8*PI()/4*(F97^2-E97^2))/10^12</f>
        <v>71.3164501899061</v>
      </c>
      <c r="AV97" s="13" t="n">
        <f aca="false">0.183*(-E97+(E97^2+4*Paramètres!$B$7/PI()/Paramètres!$B$8*(AW97^2-E97^2))^0.5)</f>
        <v>0.00939282856392438</v>
      </c>
      <c r="AW97" s="85" t="n">
        <f aca="false">(R97/PI()/Paramètres!$B$7)^0.5/A97/D97*10^6</f>
        <v>0.896148707261432</v>
      </c>
      <c r="AX97" s="12" t="e">
        <f aca="false">Q97*VLOOKUP(H97,Paramètres!$B$15:$C$18,2,0)*Paramètres!$B$9</f>
        <v>#N/A</v>
      </c>
      <c r="AY97" s="13" t="e">
        <f aca="false">(AX97/PI()/Paramètres!$B$7)^0.5/A97/D97*10^6</f>
        <v>#N/A</v>
      </c>
      <c r="AZ97" s="12" t="n">
        <f aca="false">(IF(F97&gt;0,(F97*F97 -E97*E97)/Paramètres!$B$7*Paramètres!$B$8,0)+E97*E97)*D97*G97</f>
        <v>119.2125</v>
      </c>
      <c r="BA97" s="80" t="n">
        <f aca="false">-1+AZ97/AZ96</f>
        <v>-0.0677966101694916</v>
      </c>
      <c r="BB97" s="80" t="n">
        <f aca="false">IF(F97&gt;0,"",0.234*Paramètres!$B$12*10^9*IF(F97&gt;0,E97,E97)^2/Paramètres!$B$7/A97^2/D97^4*10^6)</f>
        <v>0.0372056661922771</v>
      </c>
      <c r="BC97" s="11" t="n">
        <v>2</v>
      </c>
      <c r="BD97" s="80" t="n">
        <f aca="false">BC97*SQRT(1+L97*BC97^2)-BC97</f>
        <v>0.0957846394905997</v>
      </c>
      <c r="BE97" s="11" t="str">
        <f aca="false">IF(F97&gt;0,PI()^2*Paramètres!$B$12*10^9/8/O97*(E97^4+E97^2*F97^2)*10^-12/D97^2/10^-6,"-")</f>
        <v>-</v>
      </c>
      <c r="BF97" s="11" t="n">
        <f aca="false">IF(ISBLANK(D97),"-",PI()^3*E97^4*Paramètres!$B$12*10^9/64/O97/(D97/1000)^2*10^-12)</f>
        <v>0.0245195784452964</v>
      </c>
      <c r="BG97" s="90" t="n">
        <f aca="false">(Paramètres!$B$12*10^9)^0.5/Paramètres!$B$7/2/D97*1000</f>
        <v>520.491141962808</v>
      </c>
    </row>
    <row r="98" customFormat="false" ht="12.8" hidden="false" customHeight="false" outlineLevel="0" collapsed="false">
      <c r="A98" s="79" t="n">
        <f aca="false">IF(ISBLANK(D98),"-",IF(AND($A$6,$A$4/2&lt;AD98),AG98,AD98))</f>
        <v>3787.45073090803</v>
      </c>
      <c r="B98" s="79" t="str">
        <f aca="false">IF(ISBLANK(D98),"",VLOOKUP(MOD(C98-Paramètres!$B$54,12)+1,Paramètres!$B$40:$C$52,2)&amp;" "&amp;(TRUNC((C98-Paramètres!$B$54+120)/12)-10+1))</f>
        <v>La# 6</v>
      </c>
      <c r="C98" s="11" t="n">
        <f aca="false">IF(ISBLANK(D98),"",C97+1)</f>
        <v>86</v>
      </c>
      <c r="D98" s="25" t="n">
        <v>53</v>
      </c>
      <c r="E98" s="6" t="n">
        <v>0.8</v>
      </c>
      <c r="F98" s="6"/>
      <c r="G98" s="25" t="n">
        <v>3</v>
      </c>
      <c r="H98" s="25" t="s">
        <v>73</v>
      </c>
      <c r="I98" s="80" t="n">
        <f aca="false">IF(ISBLANK(D98),"",IF(F98&gt;0,AU98/AT98,AM98))</f>
        <v>0.695062939338363</v>
      </c>
      <c r="J98" s="81" t="str">
        <f aca="false">IF(ISBLANK(D98),"",IF(AQ98,"","]"&amp;AO98&amp;" -- "&amp;AP98&amp;"["))</f>
        <v>]0,7 -- 0,82[</v>
      </c>
      <c r="K98" s="80" t="n">
        <f aca="false">IF(ISBLANK(D98),"",BA98)</f>
        <v>-0.146398238439761</v>
      </c>
      <c r="L98" s="82" t="n">
        <f aca="false">IF(ISBLANK(D98),"",IF(F98&gt;0,BF98,BF98))</f>
        <v>0.0224379923511837</v>
      </c>
      <c r="M98" s="80" t="n">
        <f aca="false">IF(ISBLANK(D98),"",IF(F98&gt;0,"-",N98/(2^(1/12)-1)))</f>
        <v>0.566014750652046</v>
      </c>
      <c r="N98" s="83" t="n">
        <f aca="false">IF(ISBLANK(D98),"",IF(F98&gt;0,"-",1.5*L98))</f>
        <v>0.0336569885267756</v>
      </c>
      <c r="O98" s="12" t="n">
        <f aca="false">IF(ISBLANK(D98),"",IF(F98&gt;0,AU98,AK98))</f>
        <v>635.982589494602</v>
      </c>
      <c r="P98" s="12" t="n">
        <f aca="false">IF(ISBLANK(D98),"",IF(F98&gt;0,AU98*G98,AL98))</f>
        <v>1907.94776848381</v>
      </c>
      <c r="Q98" s="84" t="n">
        <v>0.8</v>
      </c>
      <c r="R98" s="12" t="n">
        <f aca="false">IF(ISBLANK(D98),"",AT98*Q98)</f>
        <v>732</v>
      </c>
      <c r="S98" s="13" t="n">
        <f aca="false">IF(ISBLANK(D98),"",AJ98)</f>
        <v>0.864745365630783</v>
      </c>
      <c r="T98" s="85" t="str">
        <f aca="false">IF(ISBLANK(F98),"",ROUND(S98*10*G98,0)/10/G98)</f>
        <v/>
      </c>
      <c r="U98" s="86" t="str">
        <f aca="false">IF(F98&gt;0,(AJ98-E98)/2,"")</f>
        <v/>
      </c>
      <c r="V98" s="86" t="str">
        <f aca="false">IF(F98&gt;0,AN98,"")</f>
        <v/>
      </c>
      <c r="W98" s="87" t="str">
        <f aca="false">IF(F98&gt;0,IF(U98&lt;Paramètres!$B$5,"!!!",""),"")</f>
        <v/>
      </c>
      <c r="X98" s="88" t="str">
        <f aca="false">IF(U98&lt;&gt;"",IF(U98/3&gt;=Paramètres!$B$5,(S98-E98)/2/3,""),"")</f>
        <v/>
      </c>
      <c r="Y98" s="88" t="str">
        <f aca="false">IF(U98&lt;&gt;"",IF(U98/3&gt;=Paramètres!$B$5,AV98,""),"")</f>
        <v/>
      </c>
      <c r="Z98" s="88" t="str">
        <f aca="false">IF(X98&lt;&gt;"",Y98*2,"")</f>
        <v/>
      </c>
      <c r="AB98" s="1"/>
      <c r="AC98" s="79" t="str">
        <f aca="false">INDEX('Charge de rupture par diamètre'!$C$1:$AC$1,AR98)</f>
        <v>Stephen Paulello France</v>
      </c>
      <c r="AD98" s="13" t="n">
        <f aca="false">IF(ISBLANK(D98),"-",$A$4/16 * 2^((C98-1)/12))</f>
        <v>3729.31009214472</v>
      </c>
      <c r="AE98" s="13" t="n">
        <f aca="false">AG98/(AG$9*SQRT(1+$L98*AG$9^2))</f>
        <v>3745.66128861535</v>
      </c>
      <c r="AF98" s="13" t="n">
        <f aca="false">$AE98*AF$9*SQRT(1+$L98*AF$9^2)</f>
        <v>7820.28047812308</v>
      </c>
      <c r="AG98" s="13" t="n">
        <f aca="false">AF86</f>
        <v>3787.45073090803</v>
      </c>
      <c r="AH98" s="19" t="n">
        <f aca="false">IF(AND(C98&gt;12,F86="",AD98&gt;$A$4),AH86*2*(1+N86),IF(AD98&gt;=$A$4/2,AD98,AD98))</f>
        <v>3789.00291199762</v>
      </c>
      <c r="AI98" s="19" t="n">
        <f aca="false">IF(AND(C98&gt;12,F86="",AD98&gt;$A$4),AH86*2*(1+N86),IF(AD98&gt;=$A$4/2,AD98,AH110/2/(1+N98)))</f>
        <v>3789.00291199762</v>
      </c>
      <c r="AJ98" s="85" t="n">
        <f aca="false">IF(Q98&gt;0,((R98*10^12/PI()/A98^2/D98^2-Paramètres!$B$7*E98^2)*4/PI()/Paramètres!$B$8+E98^2)^0.5,"")</f>
        <v>0.864745365630783</v>
      </c>
      <c r="AK98" s="12" t="n">
        <f aca="false">PI()*Paramètres!$B$7*(E98*A98*D98)^2/10^12</f>
        <v>635.982589494602</v>
      </c>
      <c r="AL98" s="12" t="n">
        <f aca="false">AK98*G98</f>
        <v>1907.94776848381</v>
      </c>
      <c r="AM98" s="80" t="n">
        <f aca="false">AK98/AT98</f>
        <v>0.695062939338363</v>
      </c>
      <c r="AN98" s="85" t="n">
        <f aca="false">(-E98+0.1*Paramètres!$B$7/E98/Paramètres!$B$8/PI()*(AW98^2-E98^2)+(E98^2+3.8*Paramètres!$B$7/Paramètres!$B$8/PI()*(AW98^2-E98^2))^0.5)/2</f>
        <v>0.0324959602274396</v>
      </c>
      <c r="AO98" s="85" t="n">
        <f aca="false">VLOOKUP(C98,Paramètres!$C$30:$F$37,2,1)</f>
        <v>0.7</v>
      </c>
      <c r="AP98" s="85" t="n">
        <f aca="false">VLOOKUP(C98,Paramètres!$C$30:$F$37,4,1)</f>
        <v>0.82</v>
      </c>
      <c r="AQ98" s="11" t="b">
        <f aca="false">AND(I98&gt;=AO98,I98&lt;=AP98)</f>
        <v>0</v>
      </c>
      <c r="AR98" s="12" t="n">
        <f aca="false">HLOOKUP(H98,'Charge de rupture par diamètre'!$D$16:$AC$17,2,0)</f>
        <v>3</v>
      </c>
      <c r="AS98" s="12" t="n">
        <f aca="false">VLOOKUP(E98,'Charge de rupture par diamètre'!$C$16:$AC$53,AR98,1)</f>
        <v>1220</v>
      </c>
      <c r="AT98" s="12" t="n">
        <f aca="false">AS98*Paramètres!$B$9</f>
        <v>915</v>
      </c>
      <c r="AU98" s="79" t="n">
        <f aca="false">PI()*A98^2*D98^2*(Paramètres!$B$7*E98^2+Paramètres!$B$8*PI()/4*(F98^2-E98^2))/10^12</f>
        <v>65.8531579829267</v>
      </c>
      <c r="AV98" s="13" t="n">
        <f aca="false">0.183*(-E98+(E98^2+4*Paramètres!$B$7/PI()/Paramètres!$B$8*(AW98^2-E98^2))^0.5)</f>
        <v>0.0118484019104333</v>
      </c>
      <c r="AW98" s="85" t="n">
        <f aca="false">(R98/PI()/Paramètres!$B$7)^0.5/A98/D98*10^6</f>
        <v>0.858267987677205</v>
      </c>
      <c r="AX98" s="12" t="e">
        <f aca="false">Q98*VLOOKUP(H98,Paramètres!$B$15:$C$18,2,0)*Paramètres!$B$9</f>
        <v>#N/A</v>
      </c>
      <c r="AY98" s="13" t="e">
        <f aca="false">(AX98/PI()/Paramètres!$B$7)^0.5/A98/D98*10^6</f>
        <v>#N/A</v>
      </c>
      <c r="AZ98" s="12" t="n">
        <f aca="false">(IF(F98&gt;0,(F98*F98 -E98*E98)/Paramètres!$B$7*Paramètres!$B$8,0)+E98*E98)*D98*G98</f>
        <v>101.76</v>
      </c>
      <c r="BA98" s="80" t="n">
        <f aca="false">-1+AZ98/AZ97</f>
        <v>-0.146398238439761</v>
      </c>
      <c r="BB98" s="80" t="n">
        <f aca="false">IF(F98&gt;0,"",0.234*Paramètres!$B$12*10^9*IF(F98&gt;0,E98,E98)^2/Paramètres!$B$7/A98^2/D98^4*10^6)</f>
        <v>0.034047096499049</v>
      </c>
      <c r="BC98" s="11" t="n">
        <v>2</v>
      </c>
      <c r="BD98" s="80" t="n">
        <f aca="false">BC98*SQRT(1+L98*BC98^2)-BC98</f>
        <v>0.0878237180420523</v>
      </c>
      <c r="BE98" s="11" t="str">
        <f aca="false">IF(F98&gt;0,PI()^2*Paramètres!$B$12*10^9/8/O98*(E98^4+E98^2*F98^2)*10^-12/D98^2/10^-6,"-")</f>
        <v>-</v>
      </c>
      <c r="BF98" s="11" t="n">
        <f aca="false">IF(ISBLANK(D98),"-",PI()^3*E98^4*Paramètres!$B$12*10^9/64/O98/(D98/1000)^2*10^-12)</f>
        <v>0.0224379923511837</v>
      </c>
      <c r="BG98" s="90" t="n">
        <f aca="false">(Paramètres!$B$12*10^9)^0.5/Paramètres!$B$7/2/D98*1000</f>
        <v>540.132317131216</v>
      </c>
    </row>
    <row r="99" customFormat="false" ht="12.8" hidden="false" customHeight="false" outlineLevel="0" collapsed="false">
      <c r="A99" s="79" t="n">
        <f aca="false">IF(ISBLANK(D99),"-",IF(AND($A$6,$A$4/2&lt;AD99),AG99,AD99))</f>
        <v>4020.41203110033</v>
      </c>
      <c r="B99" s="79" t="str">
        <f aca="false">IF(ISBLANK(D99),"",VLOOKUP(MOD(C99-Paramètres!$B$54,12)+1,Paramètres!$B$40:$C$52,2)&amp;" "&amp;(TRUNC((C99-Paramètres!$B$54+120)/12)-10+1))</f>
        <v>Si 6</v>
      </c>
      <c r="C99" s="11" t="n">
        <f aca="false">IF(ISBLANK(D99),"",C98+1)</f>
        <v>87</v>
      </c>
      <c r="D99" s="25" t="n">
        <v>50</v>
      </c>
      <c r="E99" s="6" t="n">
        <v>0.8</v>
      </c>
      <c r="F99" s="6"/>
      <c r="G99" s="25" t="n">
        <v>3</v>
      </c>
      <c r="H99" s="25" t="s">
        <v>73</v>
      </c>
      <c r="I99" s="80" t="n">
        <f aca="false">IF(ISBLANK(D99),"",IF(F99&gt;0,AU99/AT99,AM99))</f>
        <v>0.697042961051384</v>
      </c>
      <c r="J99" s="81" t="str">
        <f aca="false">IF(ISBLANK(D99),"",IF(AQ99,"","]"&amp;AO99&amp;" -- "&amp;AP99&amp;"["))</f>
        <v>]0,7 -- 0,82[</v>
      </c>
      <c r="K99" s="80" t="n">
        <f aca="false">IF(ISBLANK(D99),"",BA99)</f>
        <v>-0.0566037735849055</v>
      </c>
      <c r="L99" s="82" t="n">
        <f aca="false">IF(ISBLANK(D99),"",IF(F99&gt;0,BF99,BF99))</f>
        <v>0.025139712853436</v>
      </c>
      <c r="M99" s="80" t="n">
        <f aca="false">IF(ISBLANK(D99),"",IF(F99&gt;0,"-",N99/(2^(1/12)-1)))</f>
        <v>0.634167624246067</v>
      </c>
      <c r="N99" s="83" t="n">
        <f aca="false">IF(ISBLANK(D99),"",IF(F99&gt;0,"-",1.5*L99))</f>
        <v>0.037709569280154</v>
      </c>
      <c r="O99" s="12" t="n">
        <f aca="false">IF(ISBLANK(D99),"",IF(F99&gt;0,AU99,AK99))</f>
        <v>637.794309362017</v>
      </c>
      <c r="P99" s="12" t="n">
        <f aca="false">IF(ISBLANK(D99),"",IF(F99&gt;0,AU99*G99,AL99))</f>
        <v>1913.38292808605</v>
      </c>
      <c r="Q99" s="84" t="n">
        <v>0.8</v>
      </c>
      <c r="R99" s="12" t="n">
        <f aca="false">IF(ISBLANK(D99),"",AT99*Q99)</f>
        <v>732</v>
      </c>
      <c r="S99" s="13" t="n">
        <f aca="false">IF(ISBLANK(D99),"",AJ99)</f>
        <v>0.863394696224726</v>
      </c>
      <c r="T99" s="85" t="str">
        <f aca="false">IF(ISBLANK(F99),"",ROUND(S99*10*G99,0)/10/G99)</f>
        <v/>
      </c>
      <c r="U99" s="86" t="str">
        <f aca="false">IF(F99&gt;0,(AJ99-E99)/2,"")</f>
        <v/>
      </c>
      <c r="V99" s="86" t="str">
        <f aca="false">IF(F99&gt;0,AN99,"")</f>
        <v/>
      </c>
      <c r="W99" s="87" t="str">
        <f aca="false">IF(F99&gt;0,IF(U99&lt;Paramètres!$B$5,"!!!",""),"")</f>
        <v/>
      </c>
      <c r="X99" s="88" t="str">
        <f aca="false">IF(U99&lt;&gt;"",IF(U99/3&gt;=Paramètres!$B$5,(S99-E99)/2/3,""),"")</f>
        <v/>
      </c>
      <c r="Y99" s="88" t="str">
        <f aca="false">IF(U99&lt;&gt;"",IF(U99/3&gt;=Paramètres!$B$5,AV99,""),"")</f>
        <v/>
      </c>
      <c r="Z99" s="88" t="str">
        <f aca="false">IF(X99&lt;&gt;"",Y99*2,"")</f>
        <v/>
      </c>
      <c r="AB99" s="1"/>
      <c r="AC99" s="79" t="str">
        <f aca="false">INDEX('Charge de rupture par diamètre'!$C$1:$AC$1,AR99)</f>
        <v>Stephen Paulello France</v>
      </c>
      <c r="AD99" s="13" t="n">
        <f aca="false">IF(ISBLANK(D99),"-",$A$4/16 * 2^((C99-1)/12))</f>
        <v>3951.06641004899</v>
      </c>
      <c r="AE99" s="13" t="n">
        <f aca="false">AG99/(AG$9*SQRT(1+$L99*AG$9^2))</f>
        <v>3970.80934203887</v>
      </c>
      <c r="AF99" s="13" t="n">
        <f aca="false">$AE99*AF$9*SQRT(1+$L99*AF$9^2)</f>
        <v>8331.35549758761</v>
      </c>
      <c r="AG99" s="13" t="n">
        <f aca="false">AF87</f>
        <v>4020.41203110033</v>
      </c>
      <c r="AH99" s="19" t="n">
        <f aca="false">IF(AND(C99&gt;12,F87="",AD99&gt;$A$4),AH87*2*(1+N87),IF(AD99&gt;=$A$4/2,AD99,AD99))</f>
        <v>4022.14529545553</v>
      </c>
      <c r="AI99" s="19" t="n">
        <f aca="false">IF(AND(C99&gt;12,F87="",AD99&gt;$A$4),AH87*2*(1+N87),IF(AD99&gt;=$A$4/2,AD99,AH111/2/(1+N99)))</f>
        <v>4022.14529545553</v>
      </c>
      <c r="AJ99" s="85" t="n">
        <f aca="false">IF(Q99&gt;0,((R99*10^12/PI()/A99^2/D99^2-Paramètres!$B$7*E99^2)*4/PI()/Paramètres!$B$8+E99^2)^0.5,"")</f>
        <v>0.863394696224726</v>
      </c>
      <c r="AK99" s="12" t="n">
        <f aca="false">PI()*Paramètres!$B$7*(E99*A99*D99)^2/10^12</f>
        <v>637.794309362017</v>
      </c>
      <c r="AL99" s="12" t="n">
        <f aca="false">AK99*G99</f>
        <v>1913.38292808605</v>
      </c>
      <c r="AM99" s="80" t="n">
        <f aca="false">AK99/AT99</f>
        <v>0.697042961051384</v>
      </c>
      <c r="AN99" s="85" t="n">
        <f aca="false">(-E99+0.1*Paramètres!$B$7/E99/Paramètres!$B$8/PI()*(AW99^2-E99^2)+(E99^2+3.8*Paramètres!$B$7/Paramètres!$B$8/PI()*(AW99^2-E99^2))^0.5)/2</f>
        <v>0.0318156184993185</v>
      </c>
      <c r="AO99" s="85" t="n">
        <f aca="false">VLOOKUP(C99,Paramètres!$C$30:$F$37,2,1)</f>
        <v>0.7</v>
      </c>
      <c r="AP99" s="85" t="n">
        <f aca="false">VLOOKUP(C99,Paramètres!$C$30:$F$37,4,1)</f>
        <v>0.82</v>
      </c>
      <c r="AQ99" s="11" t="b">
        <f aca="false">AND(I99&gt;=AO99,I99&lt;=AP99)</f>
        <v>0</v>
      </c>
      <c r="AR99" s="12" t="n">
        <f aca="false">HLOOKUP(H99,'Charge de rupture par diamètre'!$D$16:$AC$17,2,0)</f>
        <v>3</v>
      </c>
      <c r="AS99" s="12" t="n">
        <f aca="false">VLOOKUP(E99,'Charge de rupture par diamètre'!$C$16:$AC$53,AR99,1)</f>
        <v>1220</v>
      </c>
      <c r="AT99" s="12" t="n">
        <f aca="false">AS99*Paramètres!$B$9</f>
        <v>915</v>
      </c>
      <c r="AU99" s="79" t="n">
        <f aca="false">PI()*A99^2*D99^2*(Paramètres!$B$7*E99^2+Paramètres!$B$8*PI()/4*(F99^2-E99^2))/10^12</f>
        <v>66.0407534873013</v>
      </c>
      <c r="AV99" s="13" t="n">
        <f aca="false">0.183*(-E99+(E99^2+4*Paramètres!$B$7/PI()/Paramètres!$B$8*(AW99^2-E99^2))^0.5)</f>
        <v>0.0116012294091248</v>
      </c>
      <c r="AW99" s="85" t="n">
        <f aca="false">(R99/PI()/Paramètres!$B$7)^0.5/A99/D99*10^6</f>
        <v>0.857048121840023</v>
      </c>
      <c r="AX99" s="12" t="e">
        <f aca="false">Q99*VLOOKUP(H99,Paramètres!$B$15:$C$18,2,0)*Paramètres!$B$9</f>
        <v>#N/A</v>
      </c>
      <c r="AY99" s="13" t="e">
        <f aca="false">(AX99/PI()/Paramètres!$B$7)^0.5/A99/D99*10^6</f>
        <v>#N/A</v>
      </c>
      <c r="AZ99" s="12" t="n">
        <f aca="false">(IF(F99&gt;0,(F99*F99 -E99*E99)/Paramètres!$B$7*Paramètres!$B$8,0)+E99*E99)*D99*G99</f>
        <v>96</v>
      </c>
      <c r="BA99" s="80" t="n">
        <f aca="false">-1+AZ99/AZ98</f>
        <v>-0.0566037735849055</v>
      </c>
      <c r="BB99" s="80" t="n">
        <f aca="false">IF(F99&gt;0,"",0.234*Paramètres!$B$12*10^9*IF(F99&gt;0,E99,E99)^2/Paramètres!$B$7/A99^2/D99^4*10^6)</f>
        <v>0.0381466494899738</v>
      </c>
      <c r="BC99" s="11" t="n">
        <v>2</v>
      </c>
      <c r="BD99" s="80" t="n">
        <f aca="false">BC99*SQRT(1+L99*BC99^2)-BC99</f>
        <v>0.0981504725960378</v>
      </c>
      <c r="BE99" s="11" t="str">
        <f aca="false">IF(F99&gt;0,PI()^2*Paramètres!$B$12*10^9/8/O99*(E99^4+E99^2*F99^2)*10^-12/D99^2/10^-6,"-")</f>
        <v>-</v>
      </c>
      <c r="BF99" s="11" t="n">
        <f aca="false">IF(ISBLANK(D99),"-",PI()^3*E99^4*Paramètres!$B$12*10^9/64/O99/(D99/1000)^2*10^-12)</f>
        <v>0.025139712853436</v>
      </c>
      <c r="BG99" s="90" t="n">
        <f aca="false">(Paramètres!$B$12*10^9)^0.5/Paramètres!$B$7/2/D99*1000</f>
        <v>572.540256159089</v>
      </c>
    </row>
    <row r="100" customFormat="false" ht="12.8" hidden="false" customHeight="false" outlineLevel="0" collapsed="false">
      <c r="A100" s="79" t="n">
        <f aca="false">IF(ISBLANK(D100),"-",IF(AND($A$6,$A$4/2&lt;AD100),AG100,AD100))</f>
        <v>4269.37574446598</v>
      </c>
      <c r="B100" s="79" t="str">
        <f aca="false">IF(ISBLANK(D100),"",VLOOKUP(MOD(C100-Paramètres!$B$54,12)+1,Paramètres!$B$40:$C$52,2)&amp;" "&amp;(TRUNC((C100-Paramètres!$B$54+120)/12)-10+1))</f>
        <v>Do 7</v>
      </c>
      <c r="C100" s="11" t="n">
        <f aca="false">IF(ISBLANK(D100),"",C99+1)</f>
        <v>88</v>
      </c>
      <c r="D100" s="25" t="n">
        <v>49</v>
      </c>
      <c r="E100" s="6" t="n">
        <v>0.8</v>
      </c>
      <c r="F100" s="6"/>
      <c r="G100" s="25" t="n">
        <v>3</v>
      </c>
      <c r="H100" s="25" t="s">
        <v>73</v>
      </c>
      <c r="I100" s="80" t="n">
        <f aca="false">IF(ISBLANK(D100),"",IF(F100&gt;0,AU100/AT100,AM100))</f>
        <v>0.75491721008209</v>
      </c>
      <c r="J100" s="81" t="str">
        <f aca="false">IF(ISBLANK(D100),"",IF(AQ100,"","]"&amp;AO100&amp;" -- "&amp;AP100&amp;"["))</f>
        <v/>
      </c>
      <c r="K100" s="80" t="n">
        <f aca="false">IF(ISBLANK(D100),"",BA100)</f>
        <v>-0.0200000000000001</v>
      </c>
      <c r="L100" s="82" t="n">
        <f aca="false">IF(ISBLANK(D100),"",IF(F100&gt;0,BF100,BF100))</f>
        <v>0.0241695397918982</v>
      </c>
      <c r="M100" s="80" t="n">
        <f aca="false">IF(ISBLANK(D100),"",IF(F100&gt;0,"-",N100/(2^(1/12)-1)))</f>
        <v>0.609694299943205</v>
      </c>
      <c r="N100" s="83" t="n">
        <f aca="false">IF(ISBLANK(D100),"",IF(F100&gt;0,"-",1.5*L100))</f>
        <v>0.0362543096878473</v>
      </c>
      <c r="O100" s="12" t="n">
        <f aca="false">IF(ISBLANK(D100),"",IF(F100&gt;0,AU100,AK100))</f>
        <v>690.749247225113</v>
      </c>
      <c r="P100" s="12" t="n">
        <f aca="false">IF(ISBLANK(D100),"",IF(F100&gt;0,AU100*G100,AL100))</f>
        <v>2072.24774167534</v>
      </c>
      <c r="Q100" s="84" t="n">
        <v>0.8</v>
      </c>
      <c r="R100" s="12" t="n">
        <f aca="false">IF(ISBLANK(D100),"",AT100*Q100)</f>
        <v>732</v>
      </c>
      <c r="S100" s="13" t="n">
        <f aca="false">IF(ISBLANK(D100),"",AJ100)</f>
        <v>0.826217101404908</v>
      </c>
      <c r="T100" s="85" t="str">
        <f aca="false">IF(ISBLANK(F100),"",ROUND(S100*10*G100,0)/10/G100)</f>
        <v/>
      </c>
      <c r="U100" s="86" t="str">
        <f aca="false">IF(F100&gt;0,(AJ100-E100)/2,"")</f>
        <v/>
      </c>
      <c r="V100" s="86" t="str">
        <f aca="false">IF(F100&gt;0,AN100,"")</f>
        <v/>
      </c>
      <c r="W100" s="87" t="str">
        <f aca="false">IF(F100&gt;0,IF(U100&lt;Paramètres!$B$5,"!!!",""),"")</f>
        <v/>
      </c>
      <c r="X100" s="88" t="str">
        <f aca="false">IF(U100&lt;&gt;"",IF(U100/3&gt;=Paramètres!$B$5,(S100-E100)/2/3,""),"")</f>
        <v/>
      </c>
      <c r="Y100" s="88" t="str">
        <f aca="false">IF(U100&lt;&gt;"",IF(U100/3&gt;=Paramètres!$B$5,AV100,""),"")</f>
        <v/>
      </c>
      <c r="Z100" s="88" t="str">
        <f aca="false">IF(X100&lt;&gt;"",Y100*2,"")</f>
        <v/>
      </c>
      <c r="AB100" s="1"/>
      <c r="AC100" s="79" t="str">
        <f aca="false">INDEX('Charge de rupture par diamètre'!$C$1:$AC$1,AR100)</f>
        <v>Stephen Paulello France</v>
      </c>
      <c r="AD100" s="13" t="n">
        <f aca="false">IF(ISBLANK(D100),"-",$A$4/16 * 2^((C100-1)/12))</f>
        <v>4186.00904480958</v>
      </c>
      <c r="AE100" s="13" t="n">
        <f aca="false">AG100/(AG$9*SQRT(1+$L100*AG$9^2))</f>
        <v>4218.69813366013</v>
      </c>
      <c r="AF100" s="13" t="n">
        <f aca="false">$AE100*AF$9*SQRT(1+$L100*AF$9^2)</f>
        <v>8835.84408212261</v>
      </c>
      <c r="AG100" s="13" t="n">
        <f aca="false">AF88</f>
        <v>4269.37574446598</v>
      </c>
      <c r="AH100" s="19" t="n">
        <f aca="false">IF(AND(C100&gt;12,F88="",AD100&gt;$A$4),AH88*2*(1+N88),IF(AD100&gt;=$A$4/2,AD100,AD100))</f>
        <v>4271.38889687322</v>
      </c>
      <c r="AI100" s="19" t="n">
        <f aca="false">IF(AND(C100&gt;12,F88="",AD100&gt;$A$4),AH88*2*(1+N88),IF(AD100&gt;=$A$4/2,AD100,AH112/2/(1+N100)))</f>
        <v>4271.38889687322</v>
      </c>
      <c r="AJ100" s="85" t="n">
        <f aca="false">IF(Q100&gt;0,((R100*10^12/PI()/A100^2/D100^2-Paramètres!$B$7*E100^2)*4/PI()/Paramètres!$B$8+E100^2)^0.5,"")</f>
        <v>0.826217101404908</v>
      </c>
      <c r="AK100" s="12" t="n">
        <f aca="false">PI()*Paramètres!$B$7*(E100*A100*D100)^2/10^12</f>
        <v>690.749247225113</v>
      </c>
      <c r="AL100" s="12" t="n">
        <f aca="false">AK100*G100</f>
        <v>2072.24774167534</v>
      </c>
      <c r="AM100" s="80" t="n">
        <f aca="false">AK100/AT100</f>
        <v>0.75491721008209</v>
      </c>
      <c r="AN100" s="85" t="n">
        <f aca="false">(-E100+0.1*Paramètres!$B$7/E100/Paramètres!$B$8/PI()*(AW100^2-E100^2)+(E100^2+3.8*Paramètres!$B$7/Paramètres!$B$8/PI()*(AW100^2-E100^2))^0.5)/2</f>
        <v>0.0131291848181207</v>
      </c>
      <c r="AO100" s="85" t="n">
        <f aca="false">VLOOKUP(C100,Paramètres!$C$30:$F$37,2,1)</f>
        <v>0.7</v>
      </c>
      <c r="AP100" s="85" t="n">
        <f aca="false">VLOOKUP(C100,Paramètres!$C$30:$F$37,4,1)</f>
        <v>0.82</v>
      </c>
      <c r="AQ100" s="11" t="b">
        <f aca="false">AND(I100&gt;=AO100,I100&lt;=AP100)</f>
        <v>1</v>
      </c>
      <c r="AR100" s="12" t="n">
        <f aca="false">HLOOKUP(H100,'Charge de rupture par diamètre'!$D$16:$AC$17,2,0)</f>
        <v>3</v>
      </c>
      <c r="AS100" s="12" t="n">
        <f aca="false">VLOOKUP(E100,'Charge de rupture par diamètre'!$C$16:$AC$53,AR100,1)</f>
        <v>1220</v>
      </c>
      <c r="AT100" s="12" t="n">
        <f aca="false">AS100*Paramètres!$B$9</f>
        <v>915</v>
      </c>
      <c r="AU100" s="79" t="n">
        <f aca="false">PI()*A100^2*D100^2*(Paramètres!$B$7*E100^2+Paramètres!$B$8*PI()/4*(F100^2-E100^2))/10^12</f>
        <v>71.5240009011114</v>
      </c>
      <c r="AV100" s="13" t="n">
        <f aca="false">0.183*(-E100+(E100^2+4*Paramètres!$B$7/PI()/Paramètres!$B$8*(AW100^2-E100^2))^0.5)</f>
        <v>0.00479772955709814</v>
      </c>
      <c r="AW100" s="85" t="n">
        <f aca="false">(R100/PI()/Paramètres!$B$7)^0.5/A100/D100*10^6</f>
        <v>0.82354117440388</v>
      </c>
      <c r="AX100" s="12" t="e">
        <f aca="false">Q100*VLOOKUP(H100,Paramètres!$B$15:$C$18,2,0)*Paramètres!$B$9</f>
        <v>#N/A</v>
      </c>
      <c r="AY100" s="13" t="e">
        <f aca="false">(AX100/PI()/Paramètres!$B$7)^0.5/A100/D100*10^6</f>
        <v>#N/A</v>
      </c>
      <c r="AZ100" s="12" t="n">
        <f aca="false">(IF(F100&gt;0,(F100*F100 -E100*E100)/Paramètres!$B$7*Paramètres!$B$8,0)+E100*E100)*D100*G100</f>
        <v>94.08</v>
      </c>
      <c r="BA100" s="80" t="n">
        <f aca="false">-1+AZ100/AZ99</f>
        <v>-0.0200000000000001</v>
      </c>
      <c r="BB100" s="80" t="n">
        <f aca="false">IF(F100&gt;0,"",0.234*Paramètres!$B$12*10^9*IF(F100&gt;0,E100,E100)^2/Paramètres!$B$7/A100^2/D100^4*10^6)</f>
        <v>0.0366745224239703</v>
      </c>
      <c r="BC100" s="11" t="n">
        <v>2</v>
      </c>
      <c r="BD100" s="80" t="n">
        <f aca="false">BC100*SQRT(1+L100*BC100^2)-BC100</f>
        <v>0.0944480506019647</v>
      </c>
      <c r="BE100" s="11" t="str">
        <f aca="false">IF(F100&gt;0,PI()^2*Paramètres!$B$12*10^9/8/O100*(E100^4+E100^2*F100^2)*10^-12/D100^2/10^-6,"-")</f>
        <v>-</v>
      </c>
      <c r="BF100" s="11" t="n">
        <f aca="false">IF(ISBLANK(D100),"-",PI()^3*E100^4*Paramètres!$B$12*10^9/64/O100/(D100/1000)^2*10^-12)</f>
        <v>0.0241695397918982</v>
      </c>
      <c r="BG100" s="90" t="n">
        <f aca="false">(Paramètres!$B$12*10^9)^0.5/Paramètres!$B$7/2/D100*1000</f>
        <v>584.224751182744</v>
      </c>
    </row>
    <row r="101" customFormat="false" ht="12.8" hidden="false" customHeight="false" outlineLevel="0" collapsed="false">
      <c r="A101" s="79" t="str">
        <f aca="false">IF(ISBLANK(D101),"-",IF(AND($A$6,$A$4/2&lt;AD101),AG101,AD101))</f>
        <v>-</v>
      </c>
      <c r="B101" s="79" t="str">
        <f aca="false">IF(ISBLANK(D101),"-",VLOOKUP(MOD(C101-Paramètres!$B$54,12)+1,Paramètres!$B$40:$C$52,2)&amp;" "&amp;(TRUNC((C101-Paramètres!$B$54+120)/12)-10+1))</f>
        <v>-</v>
      </c>
      <c r="C101" s="11" t="str">
        <f aca="false">IF(ISBLANK(D101),"-",C100+1)</f>
        <v>-</v>
      </c>
      <c r="D101" s="25"/>
      <c r="E101" s="6"/>
      <c r="F101" s="6"/>
      <c r="G101" s="25"/>
      <c r="H101" s="25"/>
      <c r="I101" s="80" t="str">
        <f aca="false">IF(ISBLANK(D101),"",IF(F101&gt;0,AU101/AT101,AM101))</f>
        <v/>
      </c>
      <c r="J101" s="81" t="str">
        <f aca="false">IF(ISBLANK(D101),"",IF(AQ101,"","]"&amp;AO101&amp;" -- "&amp;AP101&amp;"["))</f>
        <v/>
      </c>
      <c r="K101" s="80" t="str">
        <f aca="false">IF(ISBLANK(D101),"",BA101)</f>
        <v/>
      </c>
      <c r="L101" s="82" t="str">
        <f aca="false">IF(ISBLANK(D101),"",IF(F101&gt;0,BF101,BF101))</f>
        <v/>
      </c>
      <c r="M101" s="80" t="str">
        <f aca="false">IF(ISBLANK(D101),"",IF(F101&gt;0,"-",N101/(2^(1/12)-1)))</f>
        <v/>
      </c>
      <c r="N101" s="83" t="str">
        <f aca="false">IF(ISBLANK(D101),"",IF(F101&gt;0,"-",1.5*L101))</f>
        <v/>
      </c>
      <c r="O101" s="12" t="str">
        <f aca="false">IF(ISBLANK(D101),"",IF(F101&gt;0,AU101,AK101))</f>
        <v/>
      </c>
      <c r="P101" s="12" t="str">
        <f aca="false">IF(ISBLANK(D101),"",IF(F101&gt;0,AU101*G101,AL101))</f>
        <v/>
      </c>
      <c r="Q101" s="84"/>
      <c r="R101" s="12" t="str">
        <f aca="false">IF(ISBLANK(D101),"",AT101*Q101)</f>
        <v/>
      </c>
      <c r="S101" s="13" t="str">
        <f aca="false">IF(ISBLANK(D101),"",AJ101)</f>
        <v/>
      </c>
      <c r="T101" s="85" t="str">
        <f aca="false">IF(ISBLANK(F101),"",ROUND(S101*10*G101,0)/10/G101)</f>
        <v/>
      </c>
      <c r="U101" s="86" t="str">
        <f aca="false">IF(F101&gt;0,(AJ101-E101)/2,"")</f>
        <v/>
      </c>
      <c r="V101" s="86" t="str">
        <f aca="false">IF(F101&gt;0,AN101,"")</f>
        <v/>
      </c>
      <c r="W101" s="87" t="str">
        <f aca="false">IF(F101&gt;0,IF(U101&lt;Paramètres!$B$5,"!!!",""),"")</f>
        <v/>
      </c>
      <c r="X101" s="88" t="str">
        <f aca="false">IF(U101&lt;&gt;"",IF(U101/3&gt;=Paramètres!$B$5,(S101-E101)/2/3,""),"")</f>
        <v/>
      </c>
      <c r="Y101" s="88" t="str">
        <f aca="false">IF(U101&lt;&gt;"",IF(U101/3&gt;=Paramètres!$B$5,AV101,""),"")</f>
        <v/>
      </c>
      <c r="Z101" s="88" t="str">
        <f aca="false">IF(X101&lt;&gt;"",Y101*2,"")</f>
        <v/>
      </c>
      <c r="AB101" s="1"/>
      <c r="AC101" s="79" t="e">
        <f aca="false">INDEX('Charge de rupture par diamètre'!$C$1:$AC$1,AR101)</f>
        <v>#N/A</v>
      </c>
      <c r="AD101" s="13" t="str">
        <f aca="false">IF(ISBLANK(D101),"-",$A$4/16 * 2^((C101-1)/12))</f>
        <v>-</v>
      </c>
      <c r="AE101" s="13" t="e">
        <f aca="false">AG101/(AG$9*SQRT(1+$L101*AG$9^2))</f>
        <v>#VALUE!</v>
      </c>
      <c r="AF101" s="13" t="e">
        <f aca="false">$AE101*AF$9*SQRT(1+$L101*AF$9^2)</f>
        <v>#VALUE!</v>
      </c>
      <c r="AG101" s="13"/>
      <c r="AH101" s="19" t="n">
        <f aca="false">IF(AND(C101&gt;12,F89="",AD101&gt;$A$4),AH89*2*(1+N89),IF(AD101&gt;=$A$4/2,AD101,AD101))</f>
        <v>4532.20131524803</v>
      </c>
      <c r="AI101" s="19" t="n">
        <f aca="false">IF(AND(C101&gt;12,F89="",AD101&gt;$A$4),AH89*2*(1+N89),IF(AD101&gt;=$A$4/2,AD101,AH113/2/(1+N101)))</f>
        <v>4532.20131524803</v>
      </c>
      <c r="AJ101" s="85" t="str">
        <f aca="false">IF(Q101&gt;0,((R101*10^12/PI()/A101^2/D101^2-Paramètres!$B$7*E101^2)*4/PI()/Paramètres!$B$8+E101^2)^0.5,"")</f>
        <v/>
      </c>
      <c r="AK101" s="12" t="e">
        <f aca="false">PI()*Paramètres!$B$7*(E101*A101*D101)^2/10^12</f>
        <v>#VALUE!</v>
      </c>
      <c r="AL101" s="12" t="e">
        <f aca="false">AK101*G101</f>
        <v>#VALUE!</v>
      </c>
      <c r="AM101" s="80" t="e">
        <f aca="false">AK101/AT101</f>
        <v>#N/A</v>
      </c>
      <c r="AN101" s="85" t="e">
        <f aca="false">(-E101+0.1*Paramètres!$B$7/E101/Paramètres!$B$8/PI()*(AW101^2-E101^2)+(E101^2+3.8*Paramètres!$B$7/Paramètres!$B$8/PI()*(AW101^2-E101^2))^0.5)/2</f>
        <v>#DIV/0!</v>
      </c>
      <c r="AO101" s="85" t="e">
        <f aca="false">VLOOKUP(C101,Paramètres!$C$30:$F$37,2,1)</f>
        <v>#N/A</v>
      </c>
      <c r="AP101" s="85" t="e">
        <f aca="false">VLOOKUP(C101,Paramètres!$C$30:$F$37,4,1)</f>
        <v>#N/A</v>
      </c>
      <c r="AQ101" s="11" t="e">
        <f aca="false">AND(I101&gt;=AO101,I101&lt;=AP101)</f>
        <v>#N/A</v>
      </c>
      <c r="AR101" s="12" t="e">
        <f aca="false">HLOOKUP(H101,'Charge de rupture par diamètre'!$D$16:$AC$17,2,0)</f>
        <v>#N/A</v>
      </c>
      <c r="AS101" s="12" t="e">
        <f aca="false">VLOOKUP(E101,'Charge de rupture par diamètre'!$C$16:$AC$53,AR101,1)</f>
        <v>#N/A</v>
      </c>
      <c r="AT101" s="12" t="e">
        <f aca="false">AS101*Paramètres!$B$9</f>
        <v>#N/A</v>
      </c>
      <c r="AU101" s="79" t="e">
        <f aca="false">PI()*A101^2*D101^2*(Paramètres!$B$7*E101^2+Paramètres!$B$8*PI()/4*(F101^2-E101^2))/10^12</f>
        <v>#VALUE!</v>
      </c>
      <c r="AV101" s="13" t="e">
        <f aca="false">0.183*(-E101+(E101^2+4*Paramètres!$B$7/PI()/Paramètres!$B$8*(AW101^2-E101^2))^0.5)</f>
        <v>#VALUE!</v>
      </c>
      <c r="AW101" s="85" t="e">
        <f aca="false">(R101/PI()/Paramètres!$B$7)^0.5/A101/D101*10^6</f>
        <v>#VALUE!</v>
      </c>
      <c r="AX101" s="12" t="e">
        <f aca="false">Q101*VLOOKUP(H101,Paramètres!$B$15:$C$18,2,0)*Paramètres!$B$9</f>
        <v>#N/A</v>
      </c>
      <c r="AY101" s="13" t="e">
        <f aca="false">(AX101/PI()/Paramètres!$B$7)^0.5/A101/D101*10^6</f>
        <v>#N/A</v>
      </c>
      <c r="AZ101" s="12" t="n">
        <f aca="false">(IF(F101&gt;0,(F101*F101 -E101*E101)/Paramètres!$B$7*Paramètres!$B$8,0)+E101*E101)*D101*G101</f>
        <v>0</v>
      </c>
      <c r="BA101" s="80" t="n">
        <f aca="false">-1+AZ101/AZ100</f>
        <v>-1</v>
      </c>
      <c r="BB101" s="80" t="e">
        <f aca="false">IF(F101&gt;0,"",0.234*Paramètres!$B$12*10^9*IF(F101&gt;0,E101,E101)^2/Paramètres!$B$7/A101^2/D101^4*10^6)</f>
        <v>#VALUE!</v>
      </c>
      <c r="BC101" s="11" t="n">
        <v>2</v>
      </c>
      <c r="BD101" s="80" t="e">
        <f aca="false">BC101*SQRT(1+L101*BC101^2)-BC101</f>
        <v>#VALUE!</v>
      </c>
      <c r="BE101" s="11" t="str">
        <f aca="false">IF(F101&gt;0,PI()^2*Paramètres!$B$12*10^9/8/O101*(E101^4+E101^2*F101^2)*10^-12/D101^2/10^-6,"-")</f>
        <v>-</v>
      </c>
      <c r="BF101" s="11" t="str">
        <f aca="false">IF(ISBLANK(D101),"-",PI()^3*E101^4*Paramètres!$B$12*10^9/64/O101/(D101/1000)^2*10^-12)</f>
        <v>-</v>
      </c>
      <c r="BG101" s="90" t="e">
        <f aca="false">(Paramètres!$B$12*10^9)^0.5/Paramètres!$B$7/2/D101*1000</f>
        <v>#DIV/0!</v>
      </c>
    </row>
    <row r="102" customFormat="false" ht="12.8" hidden="false" customHeight="false" outlineLevel="0" collapsed="false">
      <c r="A102" s="79" t="str">
        <f aca="false">IF(ISBLANK(D102),"-",IF(AND($A$6,$A$4/2&lt;AD102),AG102,AD102))</f>
        <v>-</v>
      </c>
      <c r="B102" s="79" t="str">
        <f aca="false">IF(ISBLANK(D102),"-",VLOOKUP(MOD(C102-Paramètres!$B$54,12)+1,Paramètres!$B$40:$C$52,2)&amp;" "&amp;(TRUNC((C102-Paramètres!$B$54+120)/12)-10+1))</f>
        <v>-</v>
      </c>
      <c r="C102" s="11" t="str">
        <f aca="false">IF(ISBLANK(D102),"-",C101+1)</f>
        <v>-</v>
      </c>
      <c r="D102" s="25"/>
      <c r="E102" s="6"/>
      <c r="F102" s="6"/>
      <c r="G102" s="25"/>
      <c r="H102" s="25"/>
      <c r="I102" s="80" t="str">
        <f aca="false">IF(ISBLANK(D102),"",IF(F102&gt;0,AU102/AT102,AM102))</f>
        <v/>
      </c>
      <c r="J102" s="81" t="str">
        <f aca="false">IF(ISBLANK(D102),"",IF(AQ102,"","]"&amp;AO102&amp;" -- "&amp;AP102&amp;"["))</f>
        <v/>
      </c>
      <c r="K102" s="80" t="str">
        <f aca="false">IF(ISBLANK(D102),"",BA102)</f>
        <v/>
      </c>
      <c r="L102" s="82" t="str">
        <f aca="false">IF(ISBLANK(D102),"",IF(F102&gt;0,BF102,BF102))</f>
        <v/>
      </c>
      <c r="M102" s="80" t="str">
        <f aca="false">IF(ISBLANK(D102),"",IF(F102&gt;0,"-",N102/(2^(1/12)-1)))</f>
        <v/>
      </c>
      <c r="N102" s="83" t="str">
        <f aca="false">IF(ISBLANK(D102),"",IF(F102&gt;0,"-",1.5*L102))</f>
        <v/>
      </c>
      <c r="O102" s="12" t="str">
        <f aca="false">IF(ISBLANK(D102),"",IF(F102&gt;0,AU102,AK102))</f>
        <v/>
      </c>
      <c r="P102" s="12" t="str">
        <f aca="false">IF(ISBLANK(D102),"",IF(F102&gt;0,AU102*G102,AL102))</f>
        <v/>
      </c>
      <c r="Q102" s="84"/>
      <c r="R102" s="12" t="str">
        <f aca="false">IF(ISBLANK(D102),"",AT102*Q102)</f>
        <v/>
      </c>
      <c r="S102" s="13" t="str">
        <f aca="false">IF(ISBLANK(D102),"",AJ102)</f>
        <v/>
      </c>
      <c r="T102" s="85" t="str">
        <f aca="false">IF(ISBLANK(F102),"",ROUND(S102*10*G102,0)/10/G102)</f>
        <v/>
      </c>
      <c r="U102" s="86" t="str">
        <f aca="false">IF(F102&gt;0,(AJ102-E102)/2,"")</f>
        <v/>
      </c>
      <c r="V102" s="86" t="str">
        <f aca="false">IF(F102&gt;0,AN102,"")</f>
        <v/>
      </c>
      <c r="W102" s="87" t="str">
        <f aca="false">IF(F102&gt;0,IF(U102&lt;Paramètres!$B$5,"!!!",""),"")</f>
        <v/>
      </c>
      <c r="X102" s="88" t="str">
        <f aca="false">IF(U102&lt;&gt;"",IF(U102/3&gt;=Paramètres!$B$5,(S102-E102)/2/3,""),"")</f>
        <v/>
      </c>
      <c r="Y102" s="88" t="str">
        <f aca="false">IF(U102&lt;&gt;"",IF(U102/3&gt;=Paramètres!$B$5,AV102,""),"")</f>
        <v/>
      </c>
      <c r="Z102" s="88" t="str">
        <f aca="false">IF(X102&lt;&gt;"",Y102*2,"")</f>
        <v/>
      </c>
      <c r="AB102" s="1"/>
      <c r="AC102" s="79" t="e">
        <f aca="false">INDEX('Charge de rupture par diamètre'!$C$1:$AC$1,AR102)</f>
        <v>#N/A</v>
      </c>
      <c r="AD102" s="13" t="str">
        <f aca="false">IF(ISBLANK(D102),"-",$A$4/16 * 2^((C102-1)/12))</f>
        <v>-</v>
      </c>
      <c r="AE102" s="13" t="e">
        <f aca="false">AG102/(AG$9*SQRT(1+$L102*AG$9^2))</f>
        <v>#VALUE!</v>
      </c>
      <c r="AF102" s="13" t="e">
        <f aca="false">$AE102*AF$9*SQRT(1+$L102*AF$9^2)</f>
        <v>#VALUE!</v>
      </c>
      <c r="AG102" s="13"/>
      <c r="AH102" s="19" t="n">
        <f aca="false">IF(AND(C102&gt;12,F90="",AD102&gt;$A$4),AH90*2*(1+N90),IF(AD102&gt;=$A$4/2,AD102,AD102))</f>
        <v>4810.41590363608</v>
      </c>
      <c r="AI102" s="19" t="n">
        <f aca="false">IF(AND(C102&gt;12,F90="",AD102&gt;$A$4),AH90*2*(1+N90),IF(AD102&gt;=$A$4/2,AD102,AH114/2/(1+N102)))</f>
        <v>4810.41590363608</v>
      </c>
      <c r="AJ102" s="85" t="str">
        <f aca="false">IF(Q102&gt;0,((R102*10^12/PI()/A102^2/D102^2-Paramètres!$B$7*E102^2)*4/PI()/Paramètres!$B$8+E102^2)^0.5,"")</f>
        <v/>
      </c>
      <c r="AK102" s="12" t="e">
        <f aca="false">PI()*Paramètres!$B$7*(E102*A102*D102)^2/10^12</f>
        <v>#VALUE!</v>
      </c>
      <c r="AL102" s="12" t="e">
        <f aca="false">AK102*G102</f>
        <v>#VALUE!</v>
      </c>
      <c r="AM102" s="80" t="e">
        <f aca="false">AK102/AT102</f>
        <v>#N/A</v>
      </c>
      <c r="AN102" s="85" t="e">
        <f aca="false">(-E102+0.1*Paramètres!$B$7/E102/Paramètres!$B$8/PI()*(AW102^2-E102^2)+(E102^2+3.8*Paramètres!$B$7/Paramètres!$B$8/PI()*(AW102^2-E102^2))^0.5)/2</f>
        <v>#DIV/0!</v>
      </c>
      <c r="AO102" s="85" t="e">
        <f aca="false">VLOOKUP(C102,Paramètres!$C$30:$F$37,2,1)</f>
        <v>#N/A</v>
      </c>
      <c r="AP102" s="85" t="e">
        <f aca="false">VLOOKUP(C102,Paramètres!$C$30:$F$37,4,1)</f>
        <v>#N/A</v>
      </c>
      <c r="AQ102" s="11" t="e">
        <f aca="false">AND(I102&gt;=AO102,I102&lt;=AP102)</f>
        <v>#N/A</v>
      </c>
      <c r="AR102" s="12" t="e">
        <f aca="false">HLOOKUP(H102,'Charge de rupture par diamètre'!$D$16:$AC$17,2,0)</f>
        <v>#N/A</v>
      </c>
      <c r="AS102" s="12" t="e">
        <f aca="false">VLOOKUP(E102,'Charge de rupture par diamètre'!$C$16:$AC$53,AR102,1)</f>
        <v>#N/A</v>
      </c>
      <c r="AT102" s="12" t="e">
        <f aca="false">AS102*Paramètres!$B$9</f>
        <v>#N/A</v>
      </c>
      <c r="AU102" s="79" t="e">
        <f aca="false">PI()*A102^2*D102^2*(Paramètres!$B$7*E102^2+Paramètres!$B$8*PI()/4*(F102^2-E102^2))/10^12</f>
        <v>#VALUE!</v>
      </c>
      <c r="AV102" s="13" t="e">
        <f aca="false">0.183*(-E102+(E102^2+4*Paramètres!$B$7/PI()/Paramètres!$B$8*(AW102^2-E102^2))^0.5)</f>
        <v>#VALUE!</v>
      </c>
      <c r="AW102" s="85" t="e">
        <f aca="false">(R102/PI()/Paramètres!$B$7)^0.5/A102/D102*10^6</f>
        <v>#VALUE!</v>
      </c>
      <c r="AX102" s="12" t="e">
        <f aca="false">Q102*VLOOKUP(H102,Paramètres!$B$15:$C$18,2,0)*Paramètres!$B$9</f>
        <v>#N/A</v>
      </c>
      <c r="AY102" s="13" t="e">
        <f aca="false">(AX102/PI()/Paramètres!$B$7)^0.5/A102/D102*10^6</f>
        <v>#N/A</v>
      </c>
      <c r="AZ102" s="12" t="n">
        <f aca="false">(IF(F102&gt;0,(F102*F102 -E102*E102)/Paramètres!$B$7*Paramètres!$B$8,0)+E102*E102)*D102*G102</f>
        <v>0</v>
      </c>
      <c r="BA102" s="80" t="e">
        <f aca="false">-1+AZ102/AZ101</f>
        <v>#DIV/0!</v>
      </c>
      <c r="BB102" s="80" t="e">
        <f aca="false">IF(F102&gt;0,"",0.234*Paramètres!$B$12*10^9*IF(F102&gt;0,E102,E102)^2/Paramètres!$B$7/A102^2/D102^4*10^6)</f>
        <v>#VALUE!</v>
      </c>
      <c r="BC102" s="11" t="n">
        <v>2</v>
      </c>
      <c r="BD102" s="80" t="e">
        <f aca="false">BC102*SQRT(1+L102*BC102^2)-BC102</f>
        <v>#VALUE!</v>
      </c>
      <c r="BE102" s="11" t="str">
        <f aca="false">IF(F102&gt;0,PI()^2*Paramètres!$B$12*10^9/8/O102*(E102^4+E102^2*F102^2)*10^-12/D102^2/10^-6,"-")</f>
        <v>-</v>
      </c>
      <c r="BF102" s="11" t="str">
        <f aca="false">IF(ISBLANK(D102),"-",PI()^3*E102^4*Paramètres!$B$12*10^9/64/O102/(D102/1000)^2*10^-12)</f>
        <v>-</v>
      </c>
      <c r="BG102" s="90" t="e">
        <f aca="false">(Paramètres!$B$12*10^9)^0.5/Paramètres!$B$7/2/D102*1000</f>
        <v>#DIV/0!</v>
      </c>
    </row>
    <row r="103" customFormat="false" ht="12.8" hidden="false" customHeight="false" outlineLevel="0" collapsed="false">
      <c r="A103" s="79" t="str">
        <f aca="false">IF(ISBLANK(D103),"-",IF(AND($A$6,$A$4/2&lt;AD103),AG103,AD103))</f>
        <v>-</v>
      </c>
      <c r="B103" s="79" t="str">
        <f aca="false">IF(ISBLANK(D103),"-",VLOOKUP(MOD(C103-Paramètres!$B$54,12)+1,Paramètres!$B$40:$C$52,2)&amp;" "&amp;(TRUNC((C103-Paramètres!$B$54+120)/12)-10+1))</f>
        <v>-</v>
      </c>
      <c r="C103" s="11" t="str">
        <f aca="false">IF(ISBLANK(D103),"-",C102+1)</f>
        <v>-</v>
      </c>
      <c r="D103" s="25"/>
      <c r="E103" s="6"/>
      <c r="F103" s="6"/>
      <c r="G103" s="25"/>
      <c r="H103" s="25"/>
      <c r="I103" s="80" t="str">
        <f aca="false">IF(ISBLANK(D103),"",IF(F103&gt;0,AU103/AT103,AM103))</f>
        <v/>
      </c>
      <c r="J103" s="81" t="str">
        <f aca="false">IF(ISBLANK(D103),"",IF(AQ103,"","]"&amp;AO103&amp;" -- "&amp;AP103&amp;"["))</f>
        <v/>
      </c>
      <c r="K103" s="80" t="str">
        <f aca="false">IF(ISBLANK(D103),"",BA103)</f>
        <v/>
      </c>
      <c r="L103" s="82" t="str">
        <f aca="false">IF(ISBLANK(D103),"",IF(F103&gt;0,BF103,BF103))</f>
        <v/>
      </c>
      <c r="M103" s="80" t="str">
        <f aca="false">IF(ISBLANK(D103),"",IF(F103&gt;0,"-",N103/(2^(1/12)-1)))</f>
        <v/>
      </c>
      <c r="N103" s="83" t="str">
        <f aca="false">IF(ISBLANK(D103),"",IF(F103&gt;0,"-",1.5*L103))</f>
        <v/>
      </c>
      <c r="O103" s="12" t="str">
        <f aca="false">IF(ISBLANK(D103),"",IF(F103&gt;0,AU103,AK103))</f>
        <v/>
      </c>
      <c r="P103" s="12" t="str">
        <f aca="false">IF(ISBLANK(D103),"",IF(F103&gt;0,AU103*G103,AL103))</f>
        <v/>
      </c>
      <c r="Q103" s="84"/>
      <c r="R103" s="12" t="str">
        <f aca="false">IF(ISBLANK(D103),"",AT103*Q103)</f>
        <v/>
      </c>
      <c r="S103" s="13" t="str">
        <f aca="false">IF(ISBLANK(D103),"",AJ103)</f>
        <v/>
      </c>
      <c r="T103" s="85" t="str">
        <f aca="false">IF(ISBLANK(F103),"",ROUND(S103*10*G103,0)/10/G103)</f>
        <v/>
      </c>
      <c r="U103" s="86" t="str">
        <f aca="false">IF(F103&gt;0,(AJ103-E103)/2,"")</f>
        <v/>
      </c>
      <c r="V103" s="86" t="str">
        <f aca="false">IF(F103&gt;0,AN103,"")</f>
        <v/>
      </c>
      <c r="W103" s="87" t="str">
        <f aca="false">IF(F103&gt;0,IF(U103&lt;Paramètres!$B$5,"!!!",""),"")</f>
        <v/>
      </c>
      <c r="X103" s="88" t="str">
        <f aca="false">IF(U103&lt;&gt;"",IF(U103/3&gt;=Paramètres!$B$5,(S103-E103)/2/3,""),"")</f>
        <v/>
      </c>
      <c r="Y103" s="88" t="str">
        <f aca="false">IF(U103&lt;&gt;"",IF(U103/3&gt;=Paramètres!$B$5,AV103,""),"")</f>
        <v/>
      </c>
      <c r="Z103" s="88" t="str">
        <f aca="false">IF(X103&lt;&gt;"",Y103*2,"")</f>
        <v/>
      </c>
      <c r="AB103" s="1"/>
      <c r="AC103" s="79" t="e">
        <f aca="false">INDEX('Charge de rupture par diamètre'!$C$1:$AC$1,AR103)</f>
        <v>#N/A</v>
      </c>
      <c r="AD103" s="13" t="str">
        <f aca="false">IF(ISBLANK(D103),"-",$A$4/16 * 2^((C103-1)/12))</f>
        <v>-</v>
      </c>
      <c r="AE103" s="13" t="e">
        <f aca="false">AG103/(AG$9*SQRT(1+$L103*AG$9^2))</f>
        <v>#VALUE!</v>
      </c>
      <c r="AF103" s="13" t="e">
        <f aca="false">$AE103*AF$9*SQRT(1+$L103*AF$9^2)</f>
        <v>#VALUE!</v>
      </c>
      <c r="AG103" s="13"/>
      <c r="AH103" s="19" t="n">
        <f aca="false">IF(AND(C103&gt;12,F91="",AD103&gt;$A$4),AH91*2*(1+N91),IF(AD103&gt;=$A$4/2,AD103,AD103))</f>
        <v>5112.58120572575</v>
      </c>
      <c r="AI103" s="19" t="n">
        <f aca="false">IF(AND(C103&gt;12,F91="",AD103&gt;$A$4),AH91*2*(1+N91),IF(AD103&gt;=$A$4/2,AD103,AH115/2/(1+N103)))</f>
        <v>5112.58120572575</v>
      </c>
      <c r="AJ103" s="85" t="str">
        <f aca="false">IF(Q103&gt;0,((R103*10^12/PI()/A103^2/D103^2-Paramètres!$B$7*E103^2)*4/PI()/Paramètres!$B$8+E103^2)^0.5,"")</f>
        <v/>
      </c>
      <c r="AK103" s="12" t="e">
        <f aca="false">PI()*Paramètres!$B$7*(E103*A103*D103)^2/10^12</f>
        <v>#VALUE!</v>
      </c>
      <c r="AL103" s="12" t="e">
        <f aca="false">AK103*G103</f>
        <v>#VALUE!</v>
      </c>
      <c r="AM103" s="80" t="e">
        <f aca="false">AK103/AT103</f>
        <v>#N/A</v>
      </c>
      <c r="AN103" s="85" t="e">
        <f aca="false">(-E103+0.1*Paramètres!$B$7/E103/Paramètres!$B$8/PI()*(AW103^2-E103^2)+(E103^2+3.8*Paramètres!$B$7/Paramètres!$B$8/PI()*(AW103^2-E103^2))^0.5)/2</f>
        <v>#DIV/0!</v>
      </c>
      <c r="AO103" s="85" t="e">
        <f aca="false">VLOOKUP(C103,Paramètres!$C$30:$F$37,2,1)</f>
        <v>#N/A</v>
      </c>
      <c r="AP103" s="85" t="e">
        <f aca="false">VLOOKUP(C103,Paramètres!$C$30:$F$37,4,1)</f>
        <v>#N/A</v>
      </c>
      <c r="AQ103" s="11" t="e">
        <f aca="false">AND(I103&gt;=AO103,I103&lt;=AP103)</f>
        <v>#N/A</v>
      </c>
      <c r="AR103" s="12" t="e">
        <f aca="false">HLOOKUP(H103,'Charge de rupture par diamètre'!$D$16:$AC$17,2,0)</f>
        <v>#N/A</v>
      </c>
      <c r="AS103" s="12" t="e">
        <f aca="false">VLOOKUP(E103,'Charge de rupture par diamètre'!$C$16:$AC$53,AR103,1)</f>
        <v>#N/A</v>
      </c>
      <c r="AT103" s="12" t="e">
        <f aca="false">AS103*Paramètres!$B$9</f>
        <v>#N/A</v>
      </c>
      <c r="AU103" s="79" t="e">
        <f aca="false">PI()*A103^2*D103^2*(Paramètres!$B$7*E103^2+Paramètres!$B$8*PI()/4*(F103^2-E103^2))/10^12</f>
        <v>#VALUE!</v>
      </c>
      <c r="AV103" s="13" t="e">
        <f aca="false">0.183*(-E103+(E103^2+4*Paramètres!$B$7/PI()/Paramètres!$B$8*(AW103^2-E103^2))^0.5)</f>
        <v>#VALUE!</v>
      </c>
      <c r="AW103" s="85" t="e">
        <f aca="false">(R103/PI()/Paramètres!$B$7)^0.5/A103/D103*10^6</f>
        <v>#VALUE!</v>
      </c>
      <c r="AX103" s="12" t="e">
        <f aca="false">Q103*VLOOKUP(H103,Paramètres!$B$15:$C$18,2,0)*Paramètres!$B$9</f>
        <v>#N/A</v>
      </c>
      <c r="AY103" s="13" t="e">
        <f aca="false">(AX103/PI()/Paramètres!$B$7)^0.5/A103/D103*10^6</f>
        <v>#N/A</v>
      </c>
      <c r="AZ103" s="12" t="n">
        <f aca="false">(IF(F103&gt;0,(F103*F103 -E103*E103)/Paramètres!$B$7*Paramètres!$B$8,0)+E103*E103)*D103*G103</f>
        <v>0</v>
      </c>
      <c r="BA103" s="80" t="e">
        <f aca="false">-1+AZ103/AZ102</f>
        <v>#DIV/0!</v>
      </c>
      <c r="BB103" s="80" t="e">
        <f aca="false">IF(F103&gt;0,"",0.234*Paramètres!$B$12*10^9*IF(F103&gt;0,E103,E103)^2/Paramètres!$B$7/A103^2/D103^4*10^6)</f>
        <v>#VALUE!</v>
      </c>
      <c r="BC103" s="11" t="n">
        <v>2</v>
      </c>
      <c r="BD103" s="80" t="e">
        <f aca="false">BC103*SQRT(1+L103*BC103^2)-BC103</f>
        <v>#VALUE!</v>
      </c>
      <c r="BE103" s="11" t="str">
        <f aca="false">IF(F103&gt;0,PI()^2*Paramètres!$B$12*10^9/8/O103*(E103^4+E103^2*F103^2)*10^-12/D103^2/10^-6,"-")</f>
        <v>-</v>
      </c>
      <c r="BF103" s="11" t="str">
        <f aca="false">IF(ISBLANK(D103),"-",PI()^3*E103^4*Paramètres!$B$12*10^9/64/O103/(D103/1000)^2*10^-12)</f>
        <v>-</v>
      </c>
      <c r="BG103" s="90" t="e">
        <f aca="false">(Paramètres!$B$12*10^9)^0.5/Paramètres!$B$7/2/D103*1000</f>
        <v>#DIV/0!</v>
      </c>
    </row>
    <row r="104" customFormat="false" ht="12.8" hidden="false" customHeight="false" outlineLevel="0" collapsed="false">
      <c r="A104" s="79" t="str">
        <f aca="false">IF(ISBLANK(D104),"-",IF(AND($A$6,$A$4/2&lt;AD104),AG104,AD104))</f>
        <v>-</v>
      </c>
      <c r="B104" s="79" t="str">
        <f aca="false">IF(ISBLANK(D104),"-",VLOOKUP(MOD(C104-Paramètres!$B$54,12)+1,Paramètres!$B$40:$C$52,2)&amp;" "&amp;(TRUNC((C104-Paramètres!$B$54+120)/12)-10+1))</f>
        <v>-</v>
      </c>
      <c r="C104" s="11" t="str">
        <f aca="false">IF(ISBLANK(D104),"-",C103+1)</f>
        <v>-</v>
      </c>
      <c r="D104" s="25"/>
      <c r="E104" s="6"/>
      <c r="F104" s="6"/>
      <c r="G104" s="25"/>
      <c r="H104" s="25"/>
      <c r="I104" s="80" t="str">
        <f aca="false">IF(ISBLANK(D104),"",IF(F104&gt;0,AU104/AT104,AM104))</f>
        <v/>
      </c>
      <c r="J104" s="81" t="str">
        <f aca="false">IF(ISBLANK(D104),"",IF(AQ104,"","]"&amp;AO104&amp;" -- "&amp;AP104&amp;"["))</f>
        <v/>
      </c>
      <c r="K104" s="80" t="str">
        <f aca="false">IF(ISBLANK(D104),"",BA104)</f>
        <v/>
      </c>
      <c r="L104" s="82" t="str">
        <f aca="false">IF(ISBLANK(D104),"",IF(F104&gt;0,BF104,BF104))</f>
        <v/>
      </c>
      <c r="M104" s="80" t="str">
        <f aca="false">IF(ISBLANK(D104),"",IF(F104&gt;0,"-",N104/(2^(1/12)-1)))</f>
        <v/>
      </c>
      <c r="N104" s="83" t="str">
        <f aca="false">IF(ISBLANK(D104),"",IF(F104&gt;0,"-",1.5*L104))</f>
        <v/>
      </c>
      <c r="O104" s="12" t="str">
        <f aca="false">IF(ISBLANK(D104),"",IF(F104&gt;0,AU104,AK104))</f>
        <v/>
      </c>
      <c r="P104" s="12" t="str">
        <f aca="false">IF(ISBLANK(D104),"",IF(F104&gt;0,AU104*G104,AL104))</f>
        <v/>
      </c>
      <c r="Q104" s="84"/>
      <c r="R104" s="12" t="str">
        <f aca="false">IF(ISBLANK(D104),"",AT104*Q104)</f>
        <v/>
      </c>
      <c r="S104" s="13" t="str">
        <f aca="false">IF(ISBLANK(D104),"",AJ104)</f>
        <v/>
      </c>
      <c r="T104" s="85" t="str">
        <f aca="false">IF(ISBLANK(F104),"",ROUND(S104*10*G104,0)/10/G104)</f>
        <v/>
      </c>
      <c r="U104" s="86" t="str">
        <f aca="false">IF(F104&gt;0,(AJ104-E104)/2,"")</f>
        <v/>
      </c>
      <c r="V104" s="86" t="str">
        <f aca="false">IF(F104&gt;0,AN104,"")</f>
        <v/>
      </c>
      <c r="W104" s="87" t="str">
        <f aca="false">IF(F104&gt;0,IF(U104&lt;Paramètres!$B$5,"!!!",""),"")</f>
        <v/>
      </c>
      <c r="X104" s="88" t="str">
        <f aca="false">IF(U104&lt;&gt;"",IF(U104/3&gt;=Paramètres!$B$5,(S104-E104)/2/3,""),"")</f>
        <v/>
      </c>
      <c r="Y104" s="88" t="str">
        <f aca="false">IF(U104&lt;&gt;"",IF(U104/3&gt;=Paramètres!$B$5,AV104,""),"")</f>
        <v/>
      </c>
      <c r="Z104" s="88" t="str">
        <f aca="false">IF(X104&lt;&gt;"",Y104*2,"")</f>
        <v/>
      </c>
      <c r="AB104" s="1"/>
      <c r="AC104" s="79" t="e">
        <f aca="false">INDEX('Charge de rupture par diamètre'!$C$1:$AC$1,AR104)</f>
        <v>#N/A</v>
      </c>
      <c r="AD104" s="13" t="str">
        <f aca="false">IF(ISBLANK(D104),"-",$A$4/16 * 2^((C104-1)/12))</f>
        <v>-</v>
      </c>
      <c r="AE104" s="13" t="e">
        <f aca="false">AG104/(AG$9*SQRT(1+$L104*AG$9^2))</f>
        <v>#VALUE!</v>
      </c>
      <c r="AF104" s="13" t="e">
        <f aca="false">$AE104*AF$9*SQRT(1+$L104*AF$9^2)</f>
        <v>#VALUE!</v>
      </c>
      <c r="AG104" s="13"/>
      <c r="AH104" s="19" t="n">
        <f aca="false">IF(AND(C104&gt;12,F92="",AD104&gt;$A$4),AH92*2*(1+N92),IF(AD104&gt;=$A$4/2,AD104,AD104))</f>
        <v>5439.99863449728</v>
      </c>
      <c r="AI104" s="19" t="n">
        <f aca="false">IF(AND(C104&gt;12,F92="",AD104&gt;$A$4),AH92*2*(1+N92),IF(AD104&gt;=$A$4/2,AD104,AH116/2/(1+N104)))</f>
        <v>5439.99863449728</v>
      </c>
      <c r="AJ104" s="85" t="str">
        <f aca="false">IF(Q104&gt;0,((R104*10^12/PI()/A104^2/D104^2-Paramètres!$B$7*E104^2)*4/PI()/Paramètres!$B$8+E104^2)^0.5,"")</f>
        <v/>
      </c>
      <c r="AK104" s="12" t="e">
        <f aca="false">PI()*Paramètres!$B$7*(E104*A104*D104)^2/10^12</f>
        <v>#VALUE!</v>
      </c>
      <c r="AL104" s="12" t="e">
        <f aca="false">AK104*G104</f>
        <v>#VALUE!</v>
      </c>
      <c r="AM104" s="80" t="e">
        <f aca="false">AK104/AT104</f>
        <v>#N/A</v>
      </c>
      <c r="AN104" s="85" t="e">
        <f aca="false">(-E104+0.1*Paramètres!$B$7/E104/Paramètres!$B$8/PI()*(AW104^2-E104^2)+(E104^2+3.8*Paramètres!$B$7/Paramètres!$B$8/PI()*(AW104^2-E104^2))^0.5)/2</f>
        <v>#DIV/0!</v>
      </c>
      <c r="AO104" s="85" t="e">
        <f aca="false">VLOOKUP(C104,Paramètres!$C$30:$F$37,2,1)</f>
        <v>#N/A</v>
      </c>
      <c r="AP104" s="85" t="e">
        <f aca="false">VLOOKUP(C104,Paramètres!$C$30:$F$37,4,1)</f>
        <v>#N/A</v>
      </c>
      <c r="AQ104" s="11" t="e">
        <f aca="false">AND(I104&gt;=AO104,I104&lt;=AP104)</f>
        <v>#N/A</v>
      </c>
      <c r="AR104" s="12" t="e">
        <f aca="false">HLOOKUP(H104,'Charge de rupture par diamètre'!$D$16:$AC$17,2,0)</f>
        <v>#N/A</v>
      </c>
      <c r="AS104" s="12" t="e">
        <f aca="false">VLOOKUP(E104,'Charge de rupture par diamètre'!$C$16:$AC$53,AR104,1)</f>
        <v>#N/A</v>
      </c>
      <c r="AT104" s="12" t="e">
        <f aca="false">AS104*Paramètres!$B$9</f>
        <v>#N/A</v>
      </c>
      <c r="AU104" s="79" t="e">
        <f aca="false">PI()*A104^2*D104^2*(Paramètres!$B$7*E104^2+Paramètres!$B$8*PI()/4*(F104^2-E104^2))/10^12</f>
        <v>#VALUE!</v>
      </c>
      <c r="AV104" s="13" t="e">
        <f aca="false">0.183*(-E104+(E104^2+4*Paramètres!$B$7/PI()/Paramètres!$B$8*(AW104^2-E104^2))^0.5)</f>
        <v>#VALUE!</v>
      </c>
      <c r="AW104" s="85" t="e">
        <f aca="false">(R104/PI()/Paramètres!$B$7)^0.5/A104/D104*10^6</f>
        <v>#VALUE!</v>
      </c>
      <c r="AX104" s="12" t="e">
        <f aca="false">Q104*VLOOKUP(H104,Paramètres!$B$15:$C$18,2,0)*Paramètres!$B$9</f>
        <v>#N/A</v>
      </c>
      <c r="AY104" s="13" t="e">
        <f aca="false">(AX104/PI()/Paramètres!$B$7)^0.5/A104/D104*10^6</f>
        <v>#N/A</v>
      </c>
      <c r="AZ104" s="12" t="n">
        <f aca="false">(IF(F104&gt;0,(F104*F104 -E104*E104)/Paramètres!$B$7*Paramètres!$B$8,0)+E104*E104)*D104*G104</f>
        <v>0</v>
      </c>
      <c r="BA104" s="80" t="e">
        <f aca="false">-1+AZ104/AZ103</f>
        <v>#DIV/0!</v>
      </c>
      <c r="BB104" s="80" t="e">
        <f aca="false">IF(F104&gt;0,"",0.234*Paramètres!$B$12*10^9*IF(F104&gt;0,E104,E104)^2/Paramètres!$B$7/A104^2/D104^4*10^6)</f>
        <v>#VALUE!</v>
      </c>
      <c r="BC104" s="11" t="n">
        <v>2</v>
      </c>
      <c r="BD104" s="80" t="e">
        <f aca="false">BC104*SQRT(1+L104*BC104^2)-BC104</f>
        <v>#VALUE!</v>
      </c>
      <c r="BE104" s="11" t="str">
        <f aca="false">IF(F104&gt;0,PI()^2*Paramètres!$B$12*10^9/8/O104*(E104^4+E104^2*F104^2)*10^-12/D104^2/10^-6,"-")</f>
        <v>-</v>
      </c>
      <c r="BF104" s="11" t="str">
        <f aca="false">IF(ISBLANK(D104),"-",PI()^3*E104^4*Paramètres!$B$12*10^9/64/O104/(D104/1000)^2*10^-12)</f>
        <v>-</v>
      </c>
      <c r="BG104" s="90" t="e">
        <f aca="false">(Paramètres!$B$12*10^9)^0.5/Paramètres!$B$7/2/D104*1000</f>
        <v>#DIV/0!</v>
      </c>
    </row>
    <row r="105" customFormat="false" ht="12.8" hidden="false" customHeight="false" outlineLevel="0" collapsed="false">
      <c r="A105" s="79" t="str">
        <f aca="false">IF(ISBLANK(D105),"-",IF(AND($A$6,$A$4/2&lt;AD105),AG105,AD105))</f>
        <v>-</v>
      </c>
      <c r="B105" s="79" t="str">
        <f aca="false">IF(ISBLANK(D105),"-",VLOOKUP(MOD(C105-Paramètres!$B$54,12)+1,Paramètres!$B$40:$C$52,2)&amp;" "&amp;(TRUNC((C105-Paramètres!$B$54+120)/12)-10+1))</f>
        <v>-</v>
      </c>
      <c r="C105" s="11" t="str">
        <f aca="false">IF(ISBLANK(D105),"-",C104+1)</f>
        <v>-</v>
      </c>
      <c r="D105" s="25"/>
      <c r="E105" s="6"/>
      <c r="F105" s="6"/>
      <c r="G105" s="25"/>
      <c r="H105" s="25"/>
      <c r="I105" s="80" t="str">
        <f aca="false">IF(ISBLANK(D105),"",IF(F105&gt;0,AU105/AT105,AM105))</f>
        <v/>
      </c>
      <c r="J105" s="81" t="str">
        <f aca="false">IF(ISBLANK(D105),"",IF(AQ105,"","]"&amp;AO105&amp;" -- "&amp;AP105&amp;"["))</f>
        <v/>
      </c>
      <c r="K105" s="80" t="str">
        <f aca="false">IF(ISBLANK(D105),"",BA105)</f>
        <v/>
      </c>
      <c r="L105" s="82" t="str">
        <f aca="false">IF(ISBLANK(D105),"",IF(F105&gt;0,BF105,BF105))</f>
        <v/>
      </c>
      <c r="M105" s="80" t="str">
        <f aca="false">IF(ISBLANK(D105),"",IF(F105&gt;0,"-",N105/(2^(1/12)-1)))</f>
        <v/>
      </c>
      <c r="N105" s="83" t="str">
        <f aca="false">IF(ISBLANK(D105),"",IF(F105&gt;0,"-",1.5*L105))</f>
        <v/>
      </c>
      <c r="O105" s="12" t="str">
        <f aca="false">IF(ISBLANK(D105),"",IF(F105&gt;0,AU105,AK105))</f>
        <v/>
      </c>
      <c r="P105" s="12" t="str">
        <f aca="false">IF(ISBLANK(D105),"",IF(F105&gt;0,AU105*G105,AL105))</f>
        <v/>
      </c>
      <c r="Q105" s="84"/>
      <c r="R105" s="12" t="str">
        <f aca="false">IF(ISBLANK(D105),"",AT105*Q105)</f>
        <v/>
      </c>
      <c r="S105" s="13" t="str">
        <f aca="false">IF(ISBLANK(D105),"",AJ105)</f>
        <v/>
      </c>
      <c r="T105" s="85" t="str">
        <f aca="false">IF(ISBLANK(F105),"",ROUND(S105*10*G105,0)/10/G105)</f>
        <v/>
      </c>
      <c r="U105" s="86" t="str">
        <f aca="false">IF(F105&gt;0,(AJ105-E105)/2,"")</f>
        <v/>
      </c>
      <c r="V105" s="86" t="str">
        <f aca="false">IF(F105&gt;0,AN105,"")</f>
        <v/>
      </c>
      <c r="W105" s="87" t="str">
        <f aca="false">IF(F105&gt;0,IF(U105&lt;Paramètres!$B$5,"!!!",""),"")</f>
        <v/>
      </c>
      <c r="X105" s="88" t="str">
        <f aca="false">IF(U105&lt;&gt;"",IF(U105/3&gt;=Paramètres!$B$5,(S105-E105)/2/3,""),"")</f>
        <v/>
      </c>
      <c r="Y105" s="88" t="str">
        <f aca="false">IF(U105&lt;&gt;"",IF(U105/3&gt;=Paramètres!$B$5,AV105,""),"")</f>
        <v/>
      </c>
      <c r="Z105" s="88" t="str">
        <f aca="false">IF(X105&lt;&gt;"",Y105*2,"")</f>
        <v/>
      </c>
      <c r="AB105" s="1"/>
      <c r="AC105" s="79" t="e">
        <f aca="false">INDEX('Charge de rupture par diamètre'!$C$1:$AC$1,AR105)</f>
        <v>#N/A</v>
      </c>
      <c r="AD105" s="13" t="str">
        <f aca="false">IF(ISBLANK(D105),"-",$A$4/16 * 2^((C105-1)/12))</f>
        <v>-</v>
      </c>
      <c r="AE105" s="13" t="e">
        <f aca="false">AG105/(AG$9*SQRT(1+$L105*AG$9^2))</f>
        <v>#VALUE!</v>
      </c>
      <c r="AF105" s="13" t="e">
        <f aca="false">$AE105*AF$9*SQRT(1+$L105*AF$9^2)</f>
        <v>#VALUE!</v>
      </c>
      <c r="AG105" s="13"/>
      <c r="AH105" s="19" t="n">
        <f aca="false">IF(AND(C105&gt;12,F93="",AD105&gt;$A$4),AH93*2*(1+N93),IF(AD105&gt;=$A$4/2,AD105,AD105))</f>
        <v>5780.51330345307</v>
      </c>
      <c r="AI105" s="19" t="n">
        <f aca="false">IF(AND(C105&gt;12,F93="",AD105&gt;$A$4),AH93*2*(1+N93),IF(AD105&gt;=$A$4/2,AD105,AH117/2/(1+N105)))</f>
        <v>5780.51330345307</v>
      </c>
      <c r="AJ105" s="85" t="str">
        <f aca="false">IF(Q105&gt;0,((R105*10^12/PI()/A105^2/D105^2-Paramètres!$B$7*E105^2)*4/PI()/Paramètres!$B$8+E105^2)^0.5,"")</f>
        <v/>
      </c>
      <c r="AK105" s="12" t="e">
        <f aca="false">PI()*Paramètres!$B$7*(E105*A105*D105)^2/10^12</f>
        <v>#VALUE!</v>
      </c>
      <c r="AL105" s="12" t="e">
        <f aca="false">AK105*G105</f>
        <v>#VALUE!</v>
      </c>
      <c r="AM105" s="80" t="e">
        <f aca="false">AK105/AT105</f>
        <v>#N/A</v>
      </c>
      <c r="AN105" s="85" t="e">
        <f aca="false">(-E105+0.1*Paramètres!$B$7/E105/Paramètres!$B$8/PI()*(AW105^2-E105^2)+(E105^2+3.8*Paramètres!$B$7/Paramètres!$B$8/PI()*(AW105^2-E105^2))^0.5)/2</f>
        <v>#DIV/0!</v>
      </c>
      <c r="AO105" s="85" t="e">
        <f aca="false">VLOOKUP(C105,Paramètres!$C$30:$F$37,2,1)</f>
        <v>#N/A</v>
      </c>
      <c r="AP105" s="85" t="e">
        <f aca="false">VLOOKUP(C105,Paramètres!$C$30:$F$37,4,1)</f>
        <v>#N/A</v>
      </c>
      <c r="AQ105" s="11" t="e">
        <f aca="false">AND(I105&gt;=AO105,I105&lt;=AP105)</f>
        <v>#N/A</v>
      </c>
      <c r="AR105" s="12" t="e">
        <f aca="false">HLOOKUP(H105,'Charge de rupture par diamètre'!$D$16:$AC$17,2,0)</f>
        <v>#N/A</v>
      </c>
      <c r="AS105" s="12" t="e">
        <f aca="false">VLOOKUP(E105,'Charge de rupture par diamètre'!$C$16:$AC$53,AR105,1)</f>
        <v>#N/A</v>
      </c>
      <c r="AT105" s="12" t="e">
        <f aca="false">AS105*Paramètres!$B$9</f>
        <v>#N/A</v>
      </c>
      <c r="AU105" s="79" t="e">
        <f aca="false">PI()*A105^2*D105^2*(Paramètres!$B$7*E105^2+Paramètres!$B$8*PI()/4*(F105^2-E105^2))/10^12</f>
        <v>#VALUE!</v>
      </c>
      <c r="AV105" s="13" t="e">
        <f aca="false">0.183*(-E105+(E105^2+4*Paramètres!$B$7/PI()/Paramètres!$B$8*(AW105^2-E105^2))^0.5)</f>
        <v>#VALUE!</v>
      </c>
      <c r="AW105" s="85" t="e">
        <f aca="false">(R105/PI()/Paramètres!$B$7)^0.5/A105/D105*10^6</f>
        <v>#VALUE!</v>
      </c>
      <c r="AX105" s="12" t="e">
        <f aca="false">Q105*VLOOKUP(H105,Paramètres!$B$15:$C$18,2,0)*Paramètres!$B$9</f>
        <v>#N/A</v>
      </c>
      <c r="AY105" s="13" t="e">
        <f aca="false">(AX105/PI()/Paramètres!$B$7)^0.5/A105/D105*10^6</f>
        <v>#N/A</v>
      </c>
      <c r="AZ105" s="12" t="n">
        <f aca="false">(IF(F105&gt;0,(F105*F105 -E105*E105)/Paramètres!$B$7*Paramètres!$B$8,0)+E105*E105)*D105*G105</f>
        <v>0</v>
      </c>
      <c r="BA105" s="80" t="e">
        <f aca="false">-1+AZ105/AZ104</f>
        <v>#DIV/0!</v>
      </c>
      <c r="BB105" s="80" t="e">
        <f aca="false">IF(F105&gt;0,"",0.234*Paramètres!$B$12*10^9*IF(F105&gt;0,E105,E105)^2/Paramètres!$B$7/A105^2/D105^4*10^6)</f>
        <v>#VALUE!</v>
      </c>
      <c r="BC105" s="11" t="n">
        <v>2</v>
      </c>
      <c r="BD105" s="80" t="e">
        <f aca="false">BC105*SQRT(1+L105*BC105^2)-BC105</f>
        <v>#VALUE!</v>
      </c>
      <c r="BE105" s="11" t="str">
        <f aca="false">IF(F105&gt;0,PI()^2*Paramètres!$B$12*10^9/8/O105*(E105^4+E105^2*F105^2)*10^-12/D105^2/10^-6,"-")</f>
        <v>-</v>
      </c>
      <c r="BF105" s="11" t="str">
        <f aca="false">IF(ISBLANK(D105),"-",PI()^3*E105^4*Paramètres!$B$12*10^9/64/O105/(D105/1000)^2*10^-12)</f>
        <v>-</v>
      </c>
      <c r="BG105" s="90" t="e">
        <f aca="false">(Paramètres!$B$12*10^9)^0.5/Paramètres!$B$7/2/D105*1000</f>
        <v>#DIV/0!</v>
      </c>
    </row>
    <row r="106" customFormat="false" ht="12.8" hidden="false" customHeight="false" outlineLevel="0" collapsed="false">
      <c r="A106" s="79" t="str">
        <f aca="false">IF(ISBLANK(D106),"-",IF(AND($A$6,$A$4/2&lt;AD106),AG106,AD106))</f>
        <v>-</v>
      </c>
      <c r="B106" s="79" t="str">
        <f aca="false">IF(ISBLANK(D106),"-",VLOOKUP(MOD(C106-Paramètres!$B$54,12)+1,Paramètres!$B$40:$C$52,2)&amp;" "&amp;(TRUNC((C106-Paramètres!$B$54+120)/12)-10+1))</f>
        <v>-</v>
      </c>
      <c r="C106" s="11" t="str">
        <f aca="false">IF(ISBLANK(D106),"-",C105+1)</f>
        <v>-</v>
      </c>
      <c r="D106" s="25"/>
      <c r="E106" s="6"/>
      <c r="F106" s="6"/>
      <c r="G106" s="25"/>
      <c r="H106" s="25"/>
      <c r="I106" s="80" t="str">
        <f aca="false">IF(ISBLANK(D106),"",IF(F106&gt;0,AU106/AT106,AM106))</f>
        <v/>
      </c>
      <c r="J106" s="81" t="str">
        <f aca="false">IF(ISBLANK(D106),"",IF(AQ106,"","]"&amp;AO106&amp;" -- "&amp;AP106&amp;"["))</f>
        <v/>
      </c>
      <c r="K106" s="80" t="str">
        <f aca="false">IF(ISBLANK(D106),"",BA106)</f>
        <v/>
      </c>
      <c r="L106" s="82" t="str">
        <f aca="false">IF(ISBLANK(D106),"",IF(F106&gt;0,BF106,BF106))</f>
        <v/>
      </c>
      <c r="M106" s="80" t="str">
        <f aca="false">IF(ISBLANK(D106),"",IF(F106&gt;0,"-",N106/(2^(1/12)-1)))</f>
        <v/>
      </c>
      <c r="N106" s="83" t="str">
        <f aca="false">IF(ISBLANK(D106),"",IF(F106&gt;0,"-",1.5*L106))</f>
        <v/>
      </c>
      <c r="O106" s="12" t="str">
        <f aca="false">IF(ISBLANK(D106),"",IF(F106&gt;0,AU106,AK106))</f>
        <v/>
      </c>
      <c r="P106" s="12" t="str">
        <f aca="false">IF(ISBLANK(D106),"",IF(F106&gt;0,AU106*G106,AL106))</f>
        <v/>
      </c>
      <c r="Q106" s="84"/>
      <c r="R106" s="12" t="str">
        <f aca="false">IF(ISBLANK(D106),"",AT106*Q106)</f>
        <v/>
      </c>
      <c r="S106" s="13" t="str">
        <f aca="false">IF(ISBLANK(D106),"",AJ106)</f>
        <v/>
      </c>
      <c r="T106" s="85" t="str">
        <f aca="false">IF(ISBLANK(F106),"",ROUND(S106*10*G106,0)/10/G106)</f>
        <v/>
      </c>
      <c r="U106" s="86" t="str">
        <f aca="false">IF(F106&gt;0,(AJ106-E106)/2,"")</f>
        <v/>
      </c>
      <c r="V106" s="86" t="str">
        <f aca="false">IF(F106&gt;0,AN106,"")</f>
        <v/>
      </c>
      <c r="W106" s="87" t="str">
        <f aca="false">IF(F106&gt;0,IF(U106&lt;Paramètres!$B$5,"!!!",""),"")</f>
        <v/>
      </c>
      <c r="X106" s="88" t="str">
        <f aca="false">IF(U106&lt;&gt;"",IF(U106/3&gt;=Paramètres!$B$5,(S106-E106)/2/3,""),"")</f>
        <v/>
      </c>
      <c r="Y106" s="88" t="str">
        <f aca="false">IF(U106&lt;&gt;"",IF(U106/3&gt;=Paramètres!$B$5,AV106,""),"")</f>
        <v/>
      </c>
      <c r="Z106" s="88" t="str">
        <f aca="false">IF(X106&lt;&gt;"",Y106*2,"")</f>
        <v/>
      </c>
      <c r="AB106" s="1"/>
      <c r="AC106" s="79" t="e">
        <f aca="false">INDEX('Charge de rupture par diamètre'!$C$1:$AC$1,AR106)</f>
        <v>#N/A</v>
      </c>
      <c r="AD106" s="13" t="str">
        <f aca="false">IF(ISBLANK(D106),"-",$A$4/16 * 2^((C106-1)/12))</f>
        <v>-</v>
      </c>
      <c r="AE106" s="13" t="e">
        <f aca="false">AG106/(AG$9*SQRT(1+$L106*AG$9^2))</f>
        <v>#VALUE!</v>
      </c>
      <c r="AF106" s="13" t="e">
        <f aca="false">$AE106*AF$9*SQRT(1+$L106*AF$9^2)</f>
        <v>#VALUE!</v>
      </c>
      <c r="AG106" s="13"/>
      <c r="AH106" s="19" t="n">
        <f aca="false">IF(AND(C106&gt;12,F94="",AD106&gt;$A$4),AH94*2*(1+N94),IF(AD106&gt;=$A$4/2,AD106,AD106))</f>
        <v>6147.21177330007</v>
      </c>
      <c r="AI106" s="19" t="n">
        <f aca="false">IF(AND(C106&gt;12,F94="",AD106&gt;$A$4),AH94*2*(1+N94),IF(AD106&gt;=$A$4/2,AD106,AH118/2/(1+N106)))</f>
        <v>6147.21177330007</v>
      </c>
      <c r="AJ106" s="85" t="str">
        <f aca="false">IF(Q106&gt;0,((R106*10^12/PI()/A106^2/D106^2-Paramètres!$B$7*E106^2)*4/PI()/Paramètres!$B$8+E106^2)^0.5,"")</f>
        <v/>
      </c>
      <c r="AK106" s="12" t="e">
        <f aca="false">PI()*Paramètres!$B$7*(E106*A106*D106)^2/10^12</f>
        <v>#VALUE!</v>
      </c>
      <c r="AL106" s="12" t="e">
        <f aca="false">AK106*G106</f>
        <v>#VALUE!</v>
      </c>
      <c r="AM106" s="80" t="e">
        <f aca="false">AK106/AT106</f>
        <v>#N/A</v>
      </c>
      <c r="AN106" s="85" t="e">
        <f aca="false">(-E106+0.1*Paramètres!$B$7/E106/Paramètres!$B$8/PI()*(AW106^2-E106^2)+(E106^2+3.8*Paramètres!$B$7/Paramètres!$B$8/PI()*(AW106^2-E106^2))^0.5)/2</f>
        <v>#DIV/0!</v>
      </c>
      <c r="AO106" s="85" t="e">
        <f aca="false">VLOOKUP(C106,Paramètres!$C$30:$F$37,2,1)</f>
        <v>#N/A</v>
      </c>
      <c r="AP106" s="85" t="e">
        <f aca="false">VLOOKUP(C106,Paramètres!$C$30:$F$37,4,1)</f>
        <v>#N/A</v>
      </c>
      <c r="AQ106" s="11" t="e">
        <f aca="false">AND(I106&gt;=AO106,I106&lt;=AP106)</f>
        <v>#N/A</v>
      </c>
      <c r="AR106" s="12" t="e">
        <f aca="false">HLOOKUP(H106,'Charge de rupture par diamètre'!$D$16:$AC$17,2,0)</f>
        <v>#N/A</v>
      </c>
      <c r="AS106" s="12" t="e">
        <f aca="false">VLOOKUP(E106,'Charge de rupture par diamètre'!$C$16:$AC$53,AR106,1)</f>
        <v>#N/A</v>
      </c>
      <c r="AT106" s="12" t="e">
        <f aca="false">AS106*Paramètres!$B$9</f>
        <v>#N/A</v>
      </c>
      <c r="AU106" s="79" t="e">
        <f aca="false">PI()*A106^2*D106^2*(Paramètres!$B$7*E106^2+Paramètres!$B$8*PI()/4*(F106^2-E106^2))/10^12</f>
        <v>#VALUE!</v>
      </c>
      <c r="AV106" s="13" t="e">
        <f aca="false">0.183*(-E106+(E106^2+4*Paramètres!$B$7/PI()/Paramètres!$B$8*(AW106^2-E106^2))^0.5)</f>
        <v>#VALUE!</v>
      </c>
      <c r="AW106" s="85" t="e">
        <f aca="false">(R106/PI()/Paramètres!$B$7)^0.5/A106/D106*10^6</f>
        <v>#VALUE!</v>
      </c>
      <c r="AX106" s="12" t="e">
        <f aca="false">Q106*VLOOKUP(H106,Paramètres!$B$15:$C$18,2,0)*Paramètres!$B$9</f>
        <v>#N/A</v>
      </c>
      <c r="AY106" s="13" t="e">
        <f aca="false">(AX106/PI()/Paramètres!$B$7)^0.5/A106/D106*10^6</f>
        <v>#N/A</v>
      </c>
      <c r="AZ106" s="12" t="n">
        <f aca="false">(IF(F106&gt;0,(F106*F106 -E106*E106)/Paramètres!$B$7*Paramètres!$B$8,0)+E106*E106)*D106*G106</f>
        <v>0</v>
      </c>
      <c r="BA106" s="80" t="e">
        <f aca="false">-1+AZ106/AZ105</f>
        <v>#DIV/0!</v>
      </c>
      <c r="BB106" s="80" t="e">
        <f aca="false">IF(F106&gt;0,"",0.234*Paramètres!$B$12*10^9*IF(F106&gt;0,E106,E106)^2/Paramètres!$B$7/A106^2/D106^4*10^6)</f>
        <v>#VALUE!</v>
      </c>
      <c r="BC106" s="11" t="n">
        <v>2</v>
      </c>
      <c r="BD106" s="80" t="e">
        <f aca="false">BC106*SQRT(1+L106*BC106^2)-BC106</f>
        <v>#VALUE!</v>
      </c>
      <c r="BE106" s="11" t="str">
        <f aca="false">IF(F106&gt;0,PI()^2*Paramètres!$B$12*10^9/8/O106*(E106^4+E106^2*F106^2)*10^-12/D106^2/10^-6,"-")</f>
        <v>-</v>
      </c>
      <c r="BF106" s="11" t="str">
        <f aca="false">IF(ISBLANK(D106),"-",PI()^3*E106^4*Paramètres!$B$12*10^9/64/O106/(D106/1000)^2*10^-12)</f>
        <v>-</v>
      </c>
      <c r="BG106" s="90" t="e">
        <f aca="false">(Paramètres!$B$12*10^9)^0.5/Paramètres!$B$7/2/D106*1000</f>
        <v>#DIV/0!</v>
      </c>
    </row>
    <row r="107" customFormat="false" ht="12.8" hidden="false" customHeight="false" outlineLevel="0" collapsed="false">
      <c r="A107" s="79" t="str">
        <f aca="false">IF(ISBLANK(D107),"-",IF(AND($A$6,$A$4/2&lt;AD107),AG107,AD107))</f>
        <v>-</v>
      </c>
      <c r="B107" s="79" t="str">
        <f aca="false">IF(ISBLANK(D107),"-",VLOOKUP(MOD(C107-Paramètres!$B$54,12)+1,Paramètres!$B$40:$C$52,2)&amp;" "&amp;(TRUNC((C107-Paramètres!$B$54+120)/12)-10+1))</f>
        <v>-</v>
      </c>
      <c r="C107" s="11" t="str">
        <f aca="false">IF(ISBLANK(D107),"-",C106+1)</f>
        <v>-</v>
      </c>
      <c r="D107" s="25"/>
      <c r="E107" s="6"/>
      <c r="F107" s="6"/>
      <c r="G107" s="25"/>
      <c r="H107" s="25"/>
      <c r="I107" s="80" t="str">
        <f aca="false">IF(ISBLANK(D107),"",IF(F107&gt;0,AU107/AT107,AM107))</f>
        <v/>
      </c>
      <c r="J107" s="81" t="str">
        <f aca="false">IF(ISBLANK(D107),"",IF(AQ107,"","]"&amp;AO107&amp;" -- "&amp;AP107&amp;"["))</f>
        <v/>
      </c>
      <c r="K107" s="80" t="str">
        <f aca="false">IF(ISBLANK(D107),"",BA107)</f>
        <v/>
      </c>
      <c r="L107" s="82" t="str">
        <f aca="false">IF(ISBLANK(D107),"",IF(F107&gt;0,BF107,BF107))</f>
        <v/>
      </c>
      <c r="M107" s="80" t="str">
        <f aca="false">IF(ISBLANK(D107),"",IF(F107&gt;0,"-",N107/(2^(1/12)-1)))</f>
        <v/>
      </c>
      <c r="N107" s="83" t="str">
        <f aca="false">IF(ISBLANK(D107),"",IF(F107&gt;0,"-",1.5*L107))</f>
        <v/>
      </c>
      <c r="O107" s="12" t="str">
        <f aca="false">IF(ISBLANK(D107),"",IF(F107&gt;0,AU107,AK107))</f>
        <v/>
      </c>
      <c r="P107" s="12" t="str">
        <f aca="false">IF(ISBLANK(D107),"",IF(F107&gt;0,AU107*G107,AL107))</f>
        <v/>
      </c>
      <c r="Q107" s="84"/>
      <c r="R107" s="12" t="str">
        <f aca="false">IF(ISBLANK(D107),"",AT107*Q107)</f>
        <v/>
      </c>
      <c r="S107" s="13" t="str">
        <f aca="false">IF(ISBLANK(D107),"",AJ107)</f>
        <v/>
      </c>
      <c r="T107" s="85" t="str">
        <f aca="false">IF(ISBLANK(F107),"",ROUND(S107*10*G107,0)/10/G107)</f>
        <v/>
      </c>
      <c r="U107" s="86" t="str">
        <f aca="false">IF(F107&gt;0,(AJ107-E107)/2,"")</f>
        <v/>
      </c>
      <c r="V107" s="86" t="str">
        <f aca="false">IF(F107&gt;0,AN107,"")</f>
        <v/>
      </c>
      <c r="W107" s="87" t="str">
        <f aca="false">IF(F107&gt;0,IF(U107&lt;Paramètres!$B$5,"!!!",""),"")</f>
        <v/>
      </c>
      <c r="X107" s="88" t="str">
        <f aca="false">IF(U107&lt;&gt;"",IF(U107/3&gt;=Paramètres!$B$5,(S107-E107)/2/3,""),"")</f>
        <v/>
      </c>
      <c r="Y107" s="88" t="str">
        <f aca="false">IF(U107&lt;&gt;"",IF(U107/3&gt;=Paramètres!$B$5,AV107,""),"")</f>
        <v/>
      </c>
      <c r="Z107" s="88" t="str">
        <f aca="false">IF(X107&lt;&gt;"",Y107*2,"")</f>
        <v/>
      </c>
      <c r="AB107" s="1"/>
      <c r="AC107" s="79" t="e">
        <f aca="false">INDEX('Charge de rupture par diamètre'!$C$1:$AC$1,AR107)</f>
        <v>#N/A</v>
      </c>
      <c r="AD107" s="13" t="str">
        <f aca="false">IF(ISBLANK(D107),"-",$A$4/16 * 2^((C107-1)/12))</f>
        <v>-</v>
      </c>
      <c r="AE107" s="13" t="e">
        <f aca="false">AG107/(AG$9*SQRT(1+$L107*AG$9^2))</f>
        <v>#VALUE!</v>
      </c>
      <c r="AF107" s="13" t="e">
        <f aca="false">$AE107*AF$9*SQRT(1+$L107*AF$9^2)</f>
        <v>#VALUE!</v>
      </c>
      <c r="AG107" s="13"/>
      <c r="AH107" s="19" t="n">
        <f aca="false">IF(AND(C107&gt;12,F95="",AD107&gt;$A$4),AH95*2*(1+N95),IF(AD107&gt;=$A$4/2,AD107,AD107))</f>
        <v>6534.55460697107</v>
      </c>
      <c r="AI107" s="19" t="n">
        <f aca="false">IF(AND(C107&gt;12,F95="",AD107&gt;$A$4),AH95*2*(1+N95),IF(AD107&gt;=$A$4/2,AD107,AH119/2/(1+N107)))</f>
        <v>6534.55460697107</v>
      </c>
      <c r="AJ107" s="85" t="str">
        <f aca="false">IF(Q107&gt;0,((R107*10^12/PI()/A107^2/D107^2-Paramètres!$B$7*E107^2)*4/PI()/Paramètres!$B$8+E107^2)^0.5,"")</f>
        <v/>
      </c>
      <c r="AK107" s="12" t="e">
        <f aca="false">PI()*Paramètres!$B$7*(E107*A107*D107)^2/10^12</f>
        <v>#VALUE!</v>
      </c>
      <c r="AL107" s="12" t="e">
        <f aca="false">AK107*G107</f>
        <v>#VALUE!</v>
      </c>
      <c r="AM107" s="80" t="e">
        <f aca="false">AK107/AT107</f>
        <v>#N/A</v>
      </c>
      <c r="AN107" s="85" t="e">
        <f aca="false">(-E107+0.1*Paramètres!$B$7/E107/Paramètres!$B$8/PI()*(AW107^2-E107^2)+(E107^2+3.8*Paramètres!$B$7/Paramètres!$B$8/PI()*(AW107^2-E107^2))^0.5)/2</f>
        <v>#DIV/0!</v>
      </c>
      <c r="AO107" s="85" t="e">
        <f aca="false">VLOOKUP(C107,Paramètres!$C$30:$F$37,2,1)</f>
        <v>#N/A</v>
      </c>
      <c r="AP107" s="85" t="e">
        <f aca="false">VLOOKUP(C107,Paramètres!$C$30:$F$37,4,1)</f>
        <v>#N/A</v>
      </c>
      <c r="AQ107" s="11" t="e">
        <f aca="false">AND(I107&gt;=AO107,I107&lt;=AP107)</f>
        <v>#N/A</v>
      </c>
      <c r="AR107" s="12" t="e">
        <f aca="false">HLOOKUP(H107,'Charge de rupture par diamètre'!$D$16:$AC$17,2,0)</f>
        <v>#N/A</v>
      </c>
      <c r="AS107" s="12" t="e">
        <f aca="false">VLOOKUP(E107,'Charge de rupture par diamètre'!$C$16:$AC$53,AR107,1)</f>
        <v>#N/A</v>
      </c>
      <c r="AT107" s="12" t="e">
        <f aca="false">AS107*Paramètres!$B$9</f>
        <v>#N/A</v>
      </c>
      <c r="AU107" s="79" t="e">
        <f aca="false">PI()*A107^2*D107^2*(Paramètres!$B$7*E107^2+Paramètres!$B$8*PI()/4*(F107^2-E107^2))/10^12</f>
        <v>#VALUE!</v>
      </c>
      <c r="AV107" s="13" t="e">
        <f aca="false">0.183*(-E107+(E107^2+4*Paramètres!$B$7/PI()/Paramètres!$B$8*(AW107^2-E107^2))^0.5)</f>
        <v>#VALUE!</v>
      </c>
      <c r="AW107" s="85" t="e">
        <f aca="false">(R107/PI()/Paramètres!$B$7)^0.5/A107/D107*10^6</f>
        <v>#VALUE!</v>
      </c>
      <c r="AX107" s="12" t="e">
        <f aca="false">Q107*VLOOKUP(H107,Paramètres!$B$15:$C$18,2,0)*Paramètres!$B$9</f>
        <v>#N/A</v>
      </c>
      <c r="AY107" s="13" t="e">
        <f aca="false">(AX107/PI()/Paramètres!$B$7)^0.5/A107/D107*10^6</f>
        <v>#N/A</v>
      </c>
      <c r="AZ107" s="12" t="n">
        <f aca="false">(IF(F107&gt;0,(F107*F107 -E107*E107)/Paramètres!$B$7*Paramètres!$B$8,0)+E107*E107)*D107*G107</f>
        <v>0</v>
      </c>
      <c r="BA107" s="80" t="e">
        <f aca="false">-1+AZ107/AZ106</f>
        <v>#DIV/0!</v>
      </c>
      <c r="BB107" s="80" t="e">
        <f aca="false">IF(F107&gt;0,"",0.234*Paramètres!$B$12*10^9*IF(F107&gt;0,E107,E107)^2/Paramètres!$B$7/A107^2/D107^4*10^6)</f>
        <v>#VALUE!</v>
      </c>
      <c r="BC107" s="11" t="n">
        <v>2</v>
      </c>
      <c r="BD107" s="80" t="e">
        <f aca="false">BC107*SQRT(1+L107*BC107^2)-BC107</f>
        <v>#VALUE!</v>
      </c>
      <c r="BE107" s="11" t="str">
        <f aca="false">IF(F107&gt;0,PI()^2*Paramètres!$B$12*10^9/8/O107*(E107^4+E107^2*F107^2)*10^-12/D107^2/10^-6,"-")</f>
        <v>-</v>
      </c>
      <c r="BF107" s="11" t="str">
        <f aca="false">IF(ISBLANK(D107),"-",PI()^3*E107^4*Paramètres!$B$12*10^9/64/O107/(D107/1000)^2*10^-12)</f>
        <v>-</v>
      </c>
      <c r="BG107" s="90" t="e">
        <f aca="false">(Paramètres!$B$12*10^9)^0.5/Paramètres!$B$7/2/D107*1000</f>
        <v>#DIV/0!</v>
      </c>
    </row>
    <row r="108" customFormat="false" ht="12.8" hidden="false" customHeight="false" outlineLevel="0" collapsed="false">
      <c r="A108" s="79" t="str">
        <f aca="false">IF(ISBLANK(D108),"-",IF(AND($A$6,$A$4/2&lt;AD108),AG108,AD108))</f>
        <v>-</v>
      </c>
      <c r="B108" s="79" t="str">
        <f aca="false">IF(ISBLANK(D108),"-",VLOOKUP(MOD(C108-Paramètres!$B$54,12)+1,Paramètres!$B$40:$C$52,2)&amp;" "&amp;(TRUNC((C108-Paramètres!$B$54+120)/12)-10+1))</f>
        <v>-</v>
      </c>
      <c r="C108" s="11" t="str">
        <f aca="false">IF(ISBLANK(D108),"-",C107+1)</f>
        <v>-</v>
      </c>
      <c r="D108" s="25"/>
      <c r="E108" s="6"/>
      <c r="F108" s="6"/>
      <c r="G108" s="25"/>
      <c r="H108" s="25"/>
      <c r="I108" s="80" t="str">
        <f aca="false">IF(ISBLANK(D108),"",IF(F108&gt;0,AU108/AT108,AM108))</f>
        <v/>
      </c>
      <c r="J108" s="81" t="str">
        <f aca="false">IF(ISBLANK(D108),"",IF(AQ108,"","]"&amp;AO108&amp;" -- "&amp;AP108&amp;"["))</f>
        <v/>
      </c>
      <c r="K108" s="80" t="str">
        <f aca="false">IF(ISBLANK(D108),"",BA108)</f>
        <v/>
      </c>
      <c r="L108" s="82" t="str">
        <f aca="false">IF(ISBLANK(D108),"",IF(F108&gt;0,BF108,BF108))</f>
        <v/>
      </c>
      <c r="M108" s="80" t="str">
        <f aca="false">IF(ISBLANK(D108),"",IF(F108&gt;0,"-",N108/(2^(1/12)-1)))</f>
        <v/>
      </c>
      <c r="N108" s="83" t="str">
        <f aca="false">IF(ISBLANK(D108),"",IF(F108&gt;0,"-",1.5*L108))</f>
        <v/>
      </c>
      <c r="O108" s="12" t="str">
        <f aca="false">IF(ISBLANK(D108),"",IF(F108&gt;0,AU108,AK108))</f>
        <v/>
      </c>
      <c r="P108" s="12" t="str">
        <f aca="false">IF(ISBLANK(D108),"",IF(F108&gt;0,AU108*G108,AL108))</f>
        <v/>
      </c>
      <c r="Q108" s="84"/>
      <c r="R108" s="12" t="str">
        <f aca="false">IF(ISBLANK(D108),"",AT108*Q108)</f>
        <v/>
      </c>
      <c r="S108" s="13" t="str">
        <f aca="false">IF(ISBLANK(D108),"",AJ108)</f>
        <v/>
      </c>
      <c r="T108" s="85" t="str">
        <f aca="false">IF(ISBLANK(F108),"",ROUND(S108*10*G108,0)/10/G108)</f>
        <v/>
      </c>
      <c r="U108" s="86" t="str">
        <f aca="false">IF(F108&gt;0,(AJ108-E108)/2,"")</f>
        <v/>
      </c>
      <c r="V108" s="86" t="str">
        <f aca="false">IF(F108&gt;0,AN108,"")</f>
        <v/>
      </c>
      <c r="W108" s="87" t="str">
        <f aca="false">IF(F108&gt;0,IF(U108&lt;Paramètres!$B$5,"!!!",""),"")</f>
        <v/>
      </c>
      <c r="X108" s="88" t="str">
        <f aca="false">IF(U108&lt;&gt;"",IF(U108/3&gt;=Paramètres!$B$5,(S108-E108)/2/3,""),"")</f>
        <v/>
      </c>
      <c r="Y108" s="88" t="str">
        <f aca="false">IF(U108&lt;&gt;"",IF(U108/3&gt;=Paramètres!$B$5,AV108,""),"")</f>
        <v/>
      </c>
      <c r="Z108" s="88" t="str">
        <f aca="false">IF(X108&lt;&gt;"",Y108*2,"")</f>
        <v/>
      </c>
      <c r="AB108" s="1"/>
      <c r="AC108" s="79" t="e">
        <f aca="false">INDEX('Charge de rupture par diamètre'!$C$1:$AC$1,AR108)</f>
        <v>#N/A</v>
      </c>
      <c r="AD108" s="13" t="str">
        <f aca="false">IF(ISBLANK(D108),"-",$A$4/16 * 2^((C108-1)/12))</f>
        <v>-</v>
      </c>
      <c r="AE108" s="13" t="e">
        <f aca="false">AG108/(AG$9*SQRT(1+$L108*AG$9^2))</f>
        <v>#VALUE!</v>
      </c>
      <c r="AF108" s="13" t="e">
        <f aca="false">$AE108*AF$9*SQRT(1+$L108*AF$9^2)</f>
        <v>#VALUE!</v>
      </c>
      <c r="AG108" s="13"/>
      <c r="AH108" s="19" t="n">
        <f aca="false">IF(AND(C108&gt;12,F96="",AD108&gt;$A$4),AH96*2*(1+N96),IF(AD108&gt;=$A$4/2,AD108,AD108))</f>
        <v>6947.78213060855</v>
      </c>
      <c r="AI108" s="19" t="n">
        <f aca="false">IF(AND(C108&gt;12,F96="",AD108&gt;$A$4),AH96*2*(1+N96),IF(AD108&gt;=$A$4/2,AD108,AH120/2/(1+N108)))</f>
        <v>6947.78213060855</v>
      </c>
      <c r="AJ108" s="85" t="str">
        <f aca="false">IF(Q108&gt;0,((R108*10^12/PI()/A108^2/D108^2-Paramètres!$B$7*E108^2)*4/PI()/Paramètres!$B$8+E108^2)^0.5,"")</f>
        <v/>
      </c>
      <c r="AK108" s="12" t="e">
        <f aca="false">PI()*Paramètres!$B$7*(E108*A108*D108)^2/10^12</f>
        <v>#VALUE!</v>
      </c>
      <c r="AL108" s="12" t="e">
        <f aca="false">AK108*G108</f>
        <v>#VALUE!</v>
      </c>
      <c r="AM108" s="80" t="e">
        <f aca="false">AK108/AT108</f>
        <v>#N/A</v>
      </c>
      <c r="AN108" s="85" t="e">
        <f aca="false">(-E108+0.1*Paramètres!$B$7/E108/Paramètres!$B$8/PI()*(AW108^2-E108^2)+(E108^2+3.8*Paramètres!$B$7/Paramètres!$B$8/PI()*(AW108^2-E108^2))^0.5)/2</f>
        <v>#DIV/0!</v>
      </c>
      <c r="AO108" s="85" t="e">
        <f aca="false">VLOOKUP(C108,Paramètres!$C$30:$F$37,2,1)</f>
        <v>#N/A</v>
      </c>
      <c r="AP108" s="85" t="e">
        <f aca="false">VLOOKUP(C108,Paramètres!$C$30:$F$37,4,1)</f>
        <v>#N/A</v>
      </c>
      <c r="AQ108" s="11" t="e">
        <f aca="false">AND(I108&gt;=AO108,I108&lt;=AP108)</f>
        <v>#N/A</v>
      </c>
      <c r="AR108" s="12" t="e">
        <f aca="false">HLOOKUP(H108,'Charge de rupture par diamètre'!$D$16:$AC$17,2,0)</f>
        <v>#N/A</v>
      </c>
      <c r="AS108" s="12" t="e">
        <f aca="false">VLOOKUP(E108,'Charge de rupture par diamètre'!$C$16:$AC$53,AR108,1)</f>
        <v>#N/A</v>
      </c>
      <c r="AT108" s="12" t="e">
        <f aca="false">AS108*Paramètres!$B$9</f>
        <v>#N/A</v>
      </c>
      <c r="AU108" s="79" t="e">
        <f aca="false">PI()*A108^2*D108^2*(Paramètres!$B$7*E108^2+Paramètres!$B$8*PI()/4*(F108^2-E108^2))/10^12</f>
        <v>#VALUE!</v>
      </c>
      <c r="AV108" s="13" t="e">
        <f aca="false">0.183*(-E108+(E108^2+4*Paramètres!$B$7/PI()/Paramètres!$B$8*(AW108^2-E108^2))^0.5)</f>
        <v>#VALUE!</v>
      </c>
      <c r="AW108" s="85" t="e">
        <f aca="false">(R108/PI()/Paramètres!$B$7)^0.5/A108/D108*10^6</f>
        <v>#VALUE!</v>
      </c>
      <c r="AX108" s="12" t="e">
        <f aca="false">Q108*VLOOKUP(H108,Paramètres!$B$15:$C$18,2,0)*Paramètres!$B$9</f>
        <v>#N/A</v>
      </c>
      <c r="AY108" s="13" t="e">
        <f aca="false">(AX108/PI()/Paramètres!$B$7)^0.5/A108/D108*10^6</f>
        <v>#N/A</v>
      </c>
      <c r="AZ108" s="12" t="n">
        <f aca="false">(IF(F108&gt;0,(F108*F108 -E108*E108)/Paramètres!$B$7*Paramètres!$B$8,0)+E108*E108)*D108*G108</f>
        <v>0</v>
      </c>
      <c r="BA108" s="80" t="e">
        <f aca="false">-1+AZ108/AZ107</f>
        <v>#DIV/0!</v>
      </c>
      <c r="BB108" s="80" t="e">
        <f aca="false">IF(F108&gt;0,"",0.234*Paramètres!$B$12*10^9*IF(F108&gt;0,E108,E108)^2/Paramètres!$B$7/A108^2/D108^4*10^6)</f>
        <v>#VALUE!</v>
      </c>
      <c r="BC108" s="11" t="n">
        <v>2</v>
      </c>
      <c r="BD108" s="80" t="e">
        <f aca="false">BC108*SQRT(1+L108*BC108^2)-BC108</f>
        <v>#VALUE!</v>
      </c>
      <c r="BE108" s="11" t="str">
        <f aca="false">IF(F108&gt;0,PI()^2*Paramètres!$B$12*10^9/8/O108*(E108^4+E108^2*F108^2)*10^-12/D108^2/10^-6,"-")</f>
        <v>-</v>
      </c>
      <c r="BF108" s="11" t="str">
        <f aca="false">IF(ISBLANK(D108),"-",PI()^3*E108^4*Paramètres!$B$12*10^9/64/O108/(D108/1000)^2*10^-12)</f>
        <v>-</v>
      </c>
      <c r="BG108" s="90" t="e">
        <f aca="false">(Paramètres!$B$12*10^9)^0.5/Paramètres!$B$7/2/D108*1000</f>
        <v>#DIV/0!</v>
      </c>
    </row>
    <row r="109" customFormat="false" ht="12.8" hidden="false" customHeight="false" outlineLevel="0" collapsed="false">
      <c r="A109" s="79" t="str">
        <f aca="false">IF(ISBLANK(D109),"-",IF(AND($A$6,$A$4/2&lt;AD109),AG109,AD109))</f>
        <v>-</v>
      </c>
      <c r="B109" s="79" t="str">
        <f aca="false">IF(ISBLANK(D109),"-",VLOOKUP(MOD(C109-Paramètres!$B$54,12)+1,Paramètres!$B$40:$C$52,2)&amp;" "&amp;(TRUNC((C109-Paramètres!$B$54+120)/12)-10+1))</f>
        <v>-</v>
      </c>
      <c r="C109" s="11" t="str">
        <f aca="false">IF(ISBLANK(D109),"-",C108+1)</f>
        <v>-</v>
      </c>
      <c r="D109" s="25"/>
      <c r="E109" s="6"/>
      <c r="F109" s="6"/>
      <c r="G109" s="25"/>
      <c r="H109" s="25"/>
      <c r="I109" s="80" t="str">
        <f aca="false">IF(ISBLANK(D109),"",IF(F109&gt;0,AU109/AT109,AM109))</f>
        <v/>
      </c>
      <c r="J109" s="81" t="str">
        <f aca="false">IF(ISBLANK(D109),"",IF(AQ109,"","]"&amp;AO109&amp;" -- "&amp;AP109&amp;"["))</f>
        <v/>
      </c>
      <c r="K109" s="80" t="str">
        <f aca="false">IF(ISBLANK(D109),"",BA109)</f>
        <v/>
      </c>
      <c r="L109" s="82" t="str">
        <f aca="false">IF(ISBLANK(D109),"",IF(F109&gt;0,BF109,BF109))</f>
        <v/>
      </c>
      <c r="M109" s="80" t="str">
        <f aca="false">IF(ISBLANK(D109),"",IF(F109&gt;0,"-",N109/(2^(1/12)-1)))</f>
        <v/>
      </c>
      <c r="N109" s="83" t="str">
        <f aca="false">IF(ISBLANK(D109),"",IF(F109&gt;0,"-",1.5*L109))</f>
        <v/>
      </c>
      <c r="O109" s="12" t="str">
        <f aca="false">IF(ISBLANK(D109),"",IF(F109&gt;0,AU109,AK109))</f>
        <v/>
      </c>
      <c r="P109" s="12" t="str">
        <f aca="false">IF(ISBLANK(D109),"",IF(F109&gt;0,AU109*G109,AL109))</f>
        <v/>
      </c>
      <c r="Q109" s="84"/>
      <c r="R109" s="12" t="str">
        <f aca="false">IF(ISBLANK(D109),"",AT109*Q109)</f>
        <v/>
      </c>
      <c r="S109" s="13" t="str">
        <f aca="false">IF(ISBLANK(D109),"",AJ109)</f>
        <v/>
      </c>
      <c r="T109" s="85" t="str">
        <f aca="false">IF(ISBLANK(F109),"",ROUND(S109*10*G109,0)/10/G109)</f>
        <v/>
      </c>
      <c r="U109" s="86" t="str">
        <f aca="false">IF(F109&gt;0,(AJ109-E109)/2,"")</f>
        <v/>
      </c>
      <c r="V109" s="86" t="str">
        <f aca="false">IF(F109&gt;0,AN109,"")</f>
        <v/>
      </c>
      <c r="W109" s="87" t="str">
        <f aca="false">IF(F109&gt;0,IF(U109&lt;Paramètres!$B$5,"!!!",""),"")</f>
        <v/>
      </c>
      <c r="X109" s="88" t="str">
        <f aca="false">IF(U109&lt;&gt;"",IF(U109/3&gt;=Paramètres!$B$5,(S109-E109)/2/3,""),"")</f>
        <v/>
      </c>
      <c r="Y109" s="88" t="str">
        <f aca="false">IF(U109&lt;&gt;"",IF(U109/3&gt;=Paramètres!$B$5,AV109,""),"")</f>
        <v/>
      </c>
      <c r="Z109" s="88" t="str">
        <f aca="false">IF(X109&lt;&gt;"",Y109*2,"")</f>
        <v/>
      </c>
      <c r="AB109" s="1"/>
      <c r="AC109" s="79" t="e">
        <f aca="false">INDEX('Charge de rupture par diamètre'!$C$1:$AC$1,AR109)</f>
        <v>#N/A</v>
      </c>
      <c r="AD109" s="13" t="str">
        <f aca="false">IF(ISBLANK(D109),"-",$A$4/16 * 2^((C109-1)/12))</f>
        <v>-</v>
      </c>
      <c r="AE109" s="13" t="e">
        <f aca="false">AG109/(AG$9*SQRT(1+$L109*AG$9^2))</f>
        <v>#VALUE!</v>
      </c>
      <c r="AF109" s="13" t="e">
        <f aca="false">$AE109*AF$9*SQRT(1+$L109*AF$9^2)</f>
        <v>#VALUE!</v>
      </c>
      <c r="AG109" s="13"/>
      <c r="AH109" s="19" t="n">
        <f aca="false">IF(AND(C109&gt;12,F97="",AD109&gt;$A$4),AH97*2*(1+N97),IF(AD109&gt;=$A$4/2,AD109,AD109))</f>
        <v>7413.57206305713</v>
      </c>
      <c r="AI109" s="19" t="n">
        <f aca="false">IF(AND(C109&gt;12,F97="",AD109&gt;$A$4),AH97*2*(1+N97),IF(AD109&gt;=$A$4/2,AD109,AH121/2/(1+N109)))</f>
        <v>7413.57206305713</v>
      </c>
      <c r="AJ109" s="85" t="str">
        <f aca="false">IF(Q109&gt;0,((R109*10^12/PI()/A109^2/D109^2-Paramètres!$B$7*E109^2)*4/PI()/Paramètres!$B$8+E109^2)^0.5,"")</f>
        <v/>
      </c>
      <c r="AK109" s="12" t="e">
        <f aca="false">PI()*Paramètres!$B$7*(E109*A109*D109)^2/10^12</f>
        <v>#VALUE!</v>
      </c>
      <c r="AL109" s="12" t="e">
        <f aca="false">AK109*G109</f>
        <v>#VALUE!</v>
      </c>
      <c r="AM109" s="80" t="e">
        <f aca="false">AK109/AT109</f>
        <v>#N/A</v>
      </c>
      <c r="AN109" s="85" t="e">
        <f aca="false">(-E109+0.1*Paramètres!$B$7/E109/Paramètres!$B$8/PI()*(AW109^2-E109^2)+(E109^2+3.8*Paramètres!$B$7/Paramètres!$B$8/PI()*(AW109^2-E109^2))^0.5)/2</f>
        <v>#DIV/0!</v>
      </c>
      <c r="AO109" s="85" t="e">
        <f aca="false">VLOOKUP(C109,Paramètres!$C$30:$F$37,2,1)</f>
        <v>#N/A</v>
      </c>
      <c r="AP109" s="85" t="e">
        <f aca="false">VLOOKUP(C109,Paramètres!$C$30:$F$37,4,1)</f>
        <v>#N/A</v>
      </c>
      <c r="AQ109" s="11" t="e">
        <f aca="false">AND(I109&gt;=AO109,I109&lt;=AP109)</f>
        <v>#N/A</v>
      </c>
      <c r="AR109" s="12" t="e">
        <f aca="false">HLOOKUP(H109,'Charge de rupture par diamètre'!$D$16:$AC$17,2,0)</f>
        <v>#N/A</v>
      </c>
      <c r="AS109" s="12" t="e">
        <f aca="false">VLOOKUP(E109,'Charge de rupture par diamètre'!$C$16:$AC$53,AR109,1)</f>
        <v>#N/A</v>
      </c>
      <c r="AT109" s="12" t="e">
        <f aca="false">AS109*Paramètres!$B$9</f>
        <v>#N/A</v>
      </c>
      <c r="AU109" s="79" t="e">
        <f aca="false">PI()*A109^2*D109^2*(Paramètres!$B$7*E109^2+Paramètres!$B$8*PI()/4*(F109^2-E109^2))/10^12</f>
        <v>#VALUE!</v>
      </c>
      <c r="AV109" s="13" t="e">
        <f aca="false">0.183*(-E109+(E109^2+4*Paramètres!$B$7/PI()/Paramètres!$B$8*(AW109^2-E109^2))^0.5)</f>
        <v>#VALUE!</v>
      </c>
      <c r="AW109" s="85" t="e">
        <f aca="false">(R109/PI()/Paramètres!$B$7)^0.5/A109/D109*10^6</f>
        <v>#VALUE!</v>
      </c>
      <c r="AX109" s="12" t="e">
        <f aca="false">Q109*VLOOKUP(H109,Paramètres!$B$15:$C$18,2,0)*Paramètres!$B$9</f>
        <v>#N/A</v>
      </c>
      <c r="AY109" s="13" t="e">
        <f aca="false">(AX109/PI()/Paramètres!$B$7)^0.5/A109/D109*10^6</f>
        <v>#N/A</v>
      </c>
      <c r="AZ109" s="12" t="n">
        <f aca="false">(IF(F109&gt;0,(F109*F109 -E109*E109)/Paramètres!$B$7*Paramètres!$B$8,0)+E109*E109)*D109*G109</f>
        <v>0</v>
      </c>
      <c r="BA109" s="80" t="e">
        <f aca="false">-1+AZ109/AZ108</f>
        <v>#DIV/0!</v>
      </c>
      <c r="BB109" s="80" t="e">
        <f aca="false">IF(F109&gt;0,"",0.234*Paramètres!$B$12*10^9*IF(F109&gt;0,E109,E109)^2/Paramètres!$B$7/A109^2/D109^4*10^6)</f>
        <v>#VALUE!</v>
      </c>
      <c r="BC109" s="11" t="n">
        <v>2</v>
      </c>
      <c r="BD109" s="80" t="e">
        <f aca="false">BC109*SQRT(1+L109*BC109^2)-BC109</f>
        <v>#VALUE!</v>
      </c>
      <c r="BE109" s="11" t="str">
        <f aca="false">IF(F109&gt;0,PI()^2*Paramètres!$B$12*10^9/8/O109*(E109^4+E109^2*F109^2)*10^-12/D109^2/10^-6,"-")</f>
        <v>-</v>
      </c>
      <c r="BF109" s="11" t="str">
        <f aca="false">IF(ISBLANK(D109),"-",PI()^3*E109^4*Paramètres!$B$12*10^9/64/O109/(D109/1000)^2*10^-12)</f>
        <v>-</v>
      </c>
      <c r="BG109" s="90" t="e">
        <f aca="false">(Paramètres!$B$12*10^9)^0.5/Paramètres!$B$7/2/D109*1000</f>
        <v>#DIV/0!</v>
      </c>
    </row>
    <row r="110" customFormat="false" ht="12.8" hidden="false" customHeight="false" outlineLevel="0" collapsed="false">
      <c r="A110" s="79" t="str">
        <f aca="false">IF(ISBLANK(D110),"-",IF(AND($A$6,$A$4/2&lt;AD110),AG110,AD110))</f>
        <v>-</v>
      </c>
      <c r="B110" s="79" t="str">
        <f aca="false">IF(ISBLANK(D110),"-",VLOOKUP(MOD(C110-Paramètres!$B$54,12)+1,Paramètres!$B$40:$C$52,2)&amp;" "&amp;(TRUNC((C110-Paramètres!$B$54+120)/12)-10+1))</f>
        <v>-</v>
      </c>
      <c r="C110" s="11" t="str">
        <f aca="false">IF(ISBLANK(D110),"-",C109+1)</f>
        <v>-</v>
      </c>
      <c r="D110" s="25"/>
      <c r="E110" s="6"/>
      <c r="F110" s="6"/>
      <c r="G110" s="25"/>
      <c r="H110" s="25"/>
      <c r="I110" s="80" t="str">
        <f aca="false">IF(ISBLANK(D110),"",IF(F110&gt;0,AU110/AT110,AM110))</f>
        <v/>
      </c>
      <c r="J110" s="81" t="str">
        <f aca="false">IF(ISBLANK(D110),"",IF(AQ110,"","]"&amp;AO110&amp;" -- "&amp;AP110&amp;"["))</f>
        <v/>
      </c>
      <c r="K110" s="80" t="str">
        <f aca="false">IF(ISBLANK(D110),"",BA110)</f>
        <v/>
      </c>
      <c r="L110" s="82" t="str">
        <f aca="false">IF(ISBLANK(D110),"",IF(F110&gt;0,BF110,BF110))</f>
        <v/>
      </c>
      <c r="M110" s="80" t="str">
        <f aca="false">IF(ISBLANK(D110),"",IF(F110&gt;0,"-",N110/(2^(1/12)-1)))</f>
        <v/>
      </c>
      <c r="N110" s="83" t="str">
        <f aca="false">IF(ISBLANK(D110),"",IF(F110&gt;0,"-",1.5*L110))</f>
        <v/>
      </c>
      <c r="O110" s="12" t="str">
        <f aca="false">IF(ISBLANK(D110),"",IF(F110&gt;0,AU110,AK110))</f>
        <v/>
      </c>
      <c r="P110" s="12" t="str">
        <f aca="false">IF(ISBLANK(D110),"",IF(F110&gt;0,AU110*G110,AL110))</f>
        <v/>
      </c>
      <c r="Q110" s="84"/>
      <c r="R110" s="12" t="str">
        <f aca="false">IF(ISBLANK(D110),"",AT110*Q110)</f>
        <v/>
      </c>
      <c r="S110" s="13" t="str">
        <f aca="false">IF(ISBLANK(D110),"",AJ110)</f>
        <v/>
      </c>
      <c r="T110" s="85" t="str">
        <f aca="false">IF(ISBLANK(F110),"",ROUND(S110*10*G110,0)/10/G110)</f>
        <v/>
      </c>
      <c r="U110" s="86" t="str">
        <f aca="false">IF(F110&gt;0,(AJ110-E110)/2,"")</f>
        <v/>
      </c>
      <c r="V110" s="86" t="str">
        <f aca="false">IF(F110&gt;0,AN110,"")</f>
        <v/>
      </c>
      <c r="W110" s="87" t="str">
        <f aca="false">IF(F110&gt;0,IF(U110&lt;Paramètres!$B$5,"!!!",""),"")</f>
        <v/>
      </c>
      <c r="X110" s="88" t="str">
        <f aca="false">IF(U110&lt;&gt;"",IF(U110/3&gt;=Paramètres!$B$5,(S110-E110)/2/3,""),"")</f>
        <v/>
      </c>
      <c r="Y110" s="88" t="str">
        <f aca="false">IF(U110&lt;&gt;"",IF(U110/3&gt;=Paramètres!$B$5,AV110,""),"")</f>
        <v/>
      </c>
      <c r="Z110" s="88" t="str">
        <f aca="false">IF(X110&lt;&gt;"",Y110*2,"")</f>
        <v/>
      </c>
      <c r="AB110" s="1"/>
      <c r="AC110" s="79" t="e">
        <f aca="false">INDEX('Charge de rupture par diamètre'!$C$1:$AC$1,AR110)</f>
        <v>#N/A</v>
      </c>
      <c r="AD110" s="13" t="str">
        <f aca="false">IF(ISBLANK(D110),"-",$A$4/16 * 2^((C110-1)/12))</f>
        <v>-</v>
      </c>
      <c r="AE110" s="13" t="e">
        <f aca="false">AG110/(AG$9*SQRT(1+$L110*AG$9^2))</f>
        <v>#VALUE!</v>
      </c>
      <c r="AF110" s="13" t="e">
        <f aca="false">$AE110*AF$9*SQRT(1+$L110*AF$9^2)</f>
        <v>#VALUE!</v>
      </c>
      <c r="AG110" s="13"/>
      <c r="AH110" s="19" t="n">
        <f aca="false">IF(AND(C110&gt;12,F98="",AD110&gt;$A$4),AH98*2*(1+N98),IF(AD110&gt;=$A$4/2,AD110,AD110))</f>
        <v>7833.05867906928</v>
      </c>
      <c r="AI110" s="19" t="n">
        <f aca="false">IF(AND(C110&gt;12,F98="",AD110&gt;$A$4),AH98*2*(1+N98),IF(AD110&gt;=$A$4/2,AD110,AH122/2/(1+N110)))</f>
        <v>7833.05867906928</v>
      </c>
      <c r="AJ110" s="85" t="str">
        <f aca="false">IF(Q110&gt;0,((R110*10^12/PI()/A110^2/D110^2-Paramètres!$B$7*E110^2)*4/PI()/Paramètres!$B$8+E110^2)^0.5,"")</f>
        <v/>
      </c>
      <c r="AK110" s="12" t="e">
        <f aca="false">PI()*Paramètres!$B$7*(E110*A110*D110)^2/10^12</f>
        <v>#VALUE!</v>
      </c>
      <c r="AL110" s="12" t="e">
        <f aca="false">AK110*G110</f>
        <v>#VALUE!</v>
      </c>
      <c r="AM110" s="80" t="e">
        <f aca="false">AK110/AT110</f>
        <v>#N/A</v>
      </c>
      <c r="AN110" s="85" t="e">
        <f aca="false">(-E110+0.1*Paramètres!$B$7/E110/Paramètres!$B$8/PI()*(AW110^2-E110^2)+(E110^2+3.8*Paramètres!$B$7/Paramètres!$B$8/PI()*(AW110^2-E110^2))^0.5)/2</f>
        <v>#DIV/0!</v>
      </c>
      <c r="AO110" s="85" t="e">
        <f aca="false">VLOOKUP(C110,Paramètres!$C$30:$F$37,2,1)</f>
        <v>#N/A</v>
      </c>
      <c r="AP110" s="85" t="e">
        <f aca="false">VLOOKUP(C110,Paramètres!$C$30:$F$37,4,1)</f>
        <v>#N/A</v>
      </c>
      <c r="AQ110" s="11" t="e">
        <f aca="false">AND(I110&gt;=AO110,I110&lt;=AP110)</f>
        <v>#N/A</v>
      </c>
      <c r="AR110" s="12" t="e">
        <f aca="false">HLOOKUP(H110,'Charge de rupture par diamètre'!$D$16:$AC$17,2,0)</f>
        <v>#N/A</v>
      </c>
      <c r="AS110" s="12" t="e">
        <f aca="false">VLOOKUP(E110,'Charge de rupture par diamètre'!$C$16:$AC$53,AR110,1)</f>
        <v>#N/A</v>
      </c>
      <c r="AT110" s="12" t="e">
        <f aca="false">AS110*Paramètres!$B$9</f>
        <v>#N/A</v>
      </c>
      <c r="AU110" s="79" t="e">
        <f aca="false">PI()*A110^2*D110^2*(Paramètres!$B$7*E110^2+Paramètres!$B$8*PI()/4*(F110^2-E110^2))/10^12</f>
        <v>#VALUE!</v>
      </c>
      <c r="AV110" s="13" t="e">
        <f aca="false">0.183*(-E110+(E110^2+4*Paramètres!$B$7/PI()/Paramètres!$B$8*(AW110^2-E110^2))^0.5)</f>
        <v>#VALUE!</v>
      </c>
      <c r="AW110" s="85" t="e">
        <f aca="false">(R110/PI()/Paramètres!$B$7)^0.5/A110/D110*10^6</f>
        <v>#VALUE!</v>
      </c>
      <c r="AX110" s="12" t="e">
        <f aca="false">Q110*VLOOKUP(H110,Paramètres!$B$15:$C$18,2,0)*Paramètres!$B$9</f>
        <v>#N/A</v>
      </c>
      <c r="AY110" s="13" t="e">
        <f aca="false">(AX110/PI()/Paramètres!$B$7)^0.5/A110/D110*10^6</f>
        <v>#N/A</v>
      </c>
      <c r="AZ110" s="12" t="n">
        <f aca="false">(IF(F110&gt;0,(F110*F110 -E110*E110)/Paramètres!$B$7*Paramètres!$B$8,0)+E110*E110)*D110*G110</f>
        <v>0</v>
      </c>
      <c r="BA110" s="80" t="e">
        <f aca="false">-1+AZ110/AZ109</f>
        <v>#DIV/0!</v>
      </c>
      <c r="BB110" s="80" t="e">
        <f aca="false">IF(F110&gt;0,"",0.234*Paramètres!$B$12*10^9*IF(F110&gt;0,E110,E110)^2/Paramètres!$B$7/A110^2/D110^4*10^6)</f>
        <v>#VALUE!</v>
      </c>
      <c r="BC110" s="11" t="n">
        <v>2</v>
      </c>
      <c r="BD110" s="80" t="e">
        <f aca="false">BC110*SQRT(1+L110*BC110^2)-BC110</f>
        <v>#VALUE!</v>
      </c>
      <c r="BE110" s="11" t="str">
        <f aca="false">IF(F110&gt;0,PI()^2*Paramètres!$B$12*10^9/8/O110*(E110^4+E110^2*F110^2)*10^-12/D110^2/10^-6,"-")</f>
        <v>-</v>
      </c>
      <c r="BF110" s="11" t="str">
        <f aca="false">IF(ISBLANK(D110),"-",PI()^3*E110^4*Paramètres!$B$12*10^9/64/O110/(D110/1000)^2*10^-12)</f>
        <v>-</v>
      </c>
      <c r="BG110" s="90" t="e">
        <f aca="false">(Paramètres!$B$12*10^9)^0.5/Paramètres!$B$7/2/D110*1000</f>
        <v>#DIV/0!</v>
      </c>
    </row>
    <row r="111" customFormat="false" ht="12.8" hidden="false" customHeight="false" outlineLevel="0" collapsed="false">
      <c r="A111" s="79" t="str">
        <f aca="false">IF(ISBLANK(D111),"-",IF(AND($A$6,$A$4/2&lt;AD111),AG111,AD111))</f>
        <v>-</v>
      </c>
      <c r="B111" s="79" t="str">
        <f aca="false">IF(ISBLANK(D111),"-",VLOOKUP(MOD(C111-Paramètres!$B$54,12)+1,Paramètres!$B$40:$C$52,2)&amp;" "&amp;(TRUNC((C111-Paramètres!$B$54+120)/12)-10+1))</f>
        <v>-</v>
      </c>
      <c r="C111" s="11" t="str">
        <f aca="false">IF(ISBLANK(D111),"-",C110+1)</f>
        <v>-</v>
      </c>
      <c r="D111" s="25"/>
      <c r="E111" s="6"/>
      <c r="F111" s="6"/>
      <c r="G111" s="25"/>
      <c r="H111" s="25"/>
      <c r="I111" s="80" t="str">
        <f aca="false">IF(ISBLANK(D111),"",IF(F111&gt;0,AU111/AT111,AM111))</f>
        <v/>
      </c>
      <c r="J111" s="81" t="str">
        <f aca="false">IF(ISBLANK(D111),"",IF(AQ111,"","]"&amp;AO111&amp;" -- "&amp;AP111&amp;"["))</f>
        <v/>
      </c>
      <c r="K111" s="80" t="str">
        <f aca="false">IF(ISBLANK(D111),"",BA111)</f>
        <v/>
      </c>
      <c r="L111" s="82" t="str">
        <f aca="false">IF(ISBLANK(D111),"",IF(F111&gt;0,BF111,BF111))</f>
        <v/>
      </c>
      <c r="M111" s="80" t="str">
        <f aca="false">IF(ISBLANK(D111),"",IF(F111&gt;0,"-",N111/(2^(1/12)-1)))</f>
        <v/>
      </c>
      <c r="N111" s="83" t="str">
        <f aca="false">IF(ISBLANK(D111),"",IF(F111&gt;0,"-",1.5*L111))</f>
        <v/>
      </c>
      <c r="O111" s="12" t="str">
        <f aca="false">IF(ISBLANK(D111),"",IF(F111&gt;0,AU111,AK111))</f>
        <v/>
      </c>
      <c r="P111" s="12" t="str">
        <f aca="false">IF(ISBLANK(D111),"",IF(F111&gt;0,AU111*G111,AL111))</f>
        <v/>
      </c>
      <c r="Q111" s="84"/>
      <c r="R111" s="12" t="str">
        <f aca="false">IF(ISBLANK(D111),"",AT111*Q111)</f>
        <v/>
      </c>
      <c r="S111" s="13" t="str">
        <f aca="false">IF(ISBLANK(D111),"",AJ111)</f>
        <v/>
      </c>
      <c r="T111" s="85" t="str">
        <f aca="false">IF(ISBLANK(F111),"",ROUND(S111*10*G111,0)/10/G111)</f>
        <v/>
      </c>
      <c r="U111" s="86" t="str">
        <f aca="false">IF(F111&gt;0,(AJ111-E111)/2,"")</f>
        <v/>
      </c>
      <c r="V111" s="86" t="str">
        <f aca="false">IF(F111&gt;0,AN111,"")</f>
        <v/>
      </c>
      <c r="W111" s="87" t="str">
        <f aca="false">IF(F111&gt;0,IF(U111&lt;Paramètres!$B$5,"!!!",""),"")</f>
        <v/>
      </c>
      <c r="X111" s="88" t="str">
        <f aca="false">IF(U111&lt;&gt;"",IF(U111/3&gt;=Paramètres!$B$5,(S111-E111)/2/3,""),"")</f>
        <v/>
      </c>
      <c r="Y111" s="88" t="str">
        <f aca="false">IF(U111&lt;&gt;"",IF(U111/3&gt;=Paramètres!$B$5,AV111,""),"")</f>
        <v/>
      </c>
      <c r="Z111" s="88" t="str">
        <f aca="false">IF(X111&lt;&gt;"",Y111*2,"")</f>
        <v/>
      </c>
      <c r="AB111" s="1"/>
      <c r="AC111" s="79" t="e">
        <f aca="false">INDEX('Charge de rupture par diamètre'!$C$1:$AC$1,AR111)</f>
        <v>#N/A</v>
      </c>
      <c r="AD111" s="13" t="str">
        <f aca="false">IF(ISBLANK(D111),"-",$A$4/16 * 2^((C111-1)/12))</f>
        <v>-</v>
      </c>
      <c r="AE111" s="13" t="e">
        <f aca="false">AG111/(AG$9*SQRT(1+$L111*AG$9^2))</f>
        <v>#VALUE!</v>
      </c>
      <c r="AF111" s="13" t="e">
        <f aca="false">$AE111*AF$9*SQRT(1+$L111*AF$9^2)</f>
        <v>#VALUE!</v>
      </c>
      <c r="AG111" s="13"/>
      <c r="AH111" s="19" t="n">
        <f aca="false">IF(AND(C111&gt;12,F99="",AD111&gt;$A$4),AH99*2*(1+N99),IF(AD111&gt;=$A$4/2,AD111,AD111))</f>
        <v>8347.63732425871</v>
      </c>
      <c r="AI111" s="19" t="n">
        <f aca="false">IF(AND(C111&gt;12,F99="",AD111&gt;$A$4),AH99*2*(1+N99),IF(AD111&gt;=$A$4/2,AD111,AH123/2/(1+N111)))</f>
        <v>8347.63732425871</v>
      </c>
      <c r="AJ111" s="85" t="str">
        <f aca="false">IF(Q111&gt;0,((R111*10^12/PI()/A111^2/D111^2-Paramètres!$B$7*E111^2)*4/PI()/Paramètres!$B$8+E111^2)^0.5,"")</f>
        <v/>
      </c>
      <c r="AK111" s="12" t="e">
        <f aca="false">PI()*Paramètres!$B$7*(E111*A111*D111)^2/10^12</f>
        <v>#VALUE!</v>
      </c>
      <c r="AL111" s="12" t="e">
        <f aca="false">AK111*G111</f>
        <v>#VALUE!</v>
      </c>
      <c r="AM111" s="80" t="e">
        <f aca="false">AK111/AT111</f>
        <v>#N/A</v>
      </c>
      <c r="AN111" s="85" t="e">
        <f aca="false">(-E111+0.1*Paramètres!$B$7/E111/Paramètres!$B$8/PI()*(AW111^2-E111^2)+(E111^2+3.8*Paramètres!$B$7/Paramètres!$B$8/PI()*(AW111^2-E111^2))^0.5)/2</f>
        <v>#DIV/0!</v>
      </c>
      <c r="AO111" s="85" t="e">
        <f aca="false">VLOOKUP(C111,Paramètres!$C$30:$F$37,2,1)</f>
        <v>#N/A</v>
      </c>
      <c r="AP111" s="85" t="e">
        <f aca="false">VLOOKUP(C111,Paramètres!$C$30:$F$37,4,1)</f>
        <v>#N/A</v>
      </c>
      <c r="AQ111" s="11" t="e">
        <f aca="false">AND(I111&gt;=AO111,I111&lt;=AP111)</f>
        <v>#N/A</v>
      </c>
      <c r="AR111" s="12" t="e">
        <f aca="false">HLOOKUP(H111,'Charge de rupture par diamètre'!$D$16:$AC$17,2,0)</f>
        <v>#N/A</v>
      </c>
      <c r="AS111" s="12" t="e">
        <f aca="false">VLOOKUP(E111,'Charge de rupture par diamètre'!$C$16:$AC$53,AR111,1)</f>
        <v>#N/A</v>
      </c>
      <c r="AT111" s="12" t="e">
        <f aca="false">AS111*Paramètres!$B$9</f>
        <v>#N/A</v>
      </c>
      <c r="AU111" s="79" t="e">
        <f aca="false">PI()*A111^2*D111^2*(Paramètres!$B$7*E111^2+Paramètres!$B$8*PI()/4*(F111^2-E111^2))/10^12</f>
        <v>#VALUE!</v>
      </c>
      <c r="AV111" s="13" t="e">
        <f aca="false">0.183*(-E111+(E111^2+4*Paramètres!$B$7/PI()/Paramètres!$B$8*(AW111^2-E111^2))^0.5)</f>
        <v>#VALUE!</v>
      </c>
      <c r="AW111" s="85" t="e">
        <f aca="false">(R111/PI()/Paramètres!$B$7)^0.5/A111/D111*10^6</f>
        <v>#VALUE!</v>
      </c>
      <c r="AX111" s="12" t="e">
        <f aca="false">Q111*VLOOKUP(H111,Paramètres!$B$15:$C$18,2,0)*Paramètres!$B$9</f>
        <v>#N/A</v>
      </c>
      <c r="AY111" s="13" t="e">
        <f aca="false">(AX111/PI()/Paramètres!$B$7)^0.5/A111/D111*10^6</f>
        <v>#N/A</v>
      </c>
      <c r="AZ111" s="12" t="n">
        <f aca="false">(IF(F111&gt;0,(F111*F111 -E111*E111)/Paramètres!$B$7*Paramètres!$B$8,0)+E111*E111)*D111*G111</f>
        <v>0</v>
      </c>
      <c r="BA111" s="80" t="e">
        <f aca="false">-1+AZ111/AZ110</f>
        <v>#DIV/0!</v>
      </c>
      <c r="BB111" s="80" t="e">
        <f aca="false">IF(F111&gt;0,"",0.234*Paramètres!$B$12*10^9*IF(F111&gt;0,E111,E111)^2/Paramètres!$B$7/A111^2/D111^4*10^6)</f>
        <v>#VALUE!</v>
      </c>
      <c r="BC111" s="11" t="n">
        <v>2</v>
      </c>
      <c r="BD111" s="80" t="e">
        <f aca="false">BC111*SQRT(1+L111*BC111^2)-BC111</f>
        <v>#VALUE!</v>
      </c>
      <c r="BE111" s="11" t="str">
        <f aca="false">IF(F111&gt;0,PI()^2*Paramètres!$B$12*10^9/8/O111*(E111^4+E111^2*F111^2)*10^-12/D111^2/10^-6,"-")</f>
        <v>-</v>
      </c>
      <c r="BF111" s="11" t="str">
        <f aca="false">IF(ISBLANK(D111),"-",PI()^3*E111^4*Paramètres!$B$12*10^9/64/O111/(D111/1000)^2*10^-12)</f>
        <v>-</v>
      </c>
      <c r="BG111" s="90" t="e">
        <f aca="false">(Paramètres!$B$12*10^9)^0.5/Paramètres!$B$7/2/D111*1000</f>
        <v>#DIV/0!</v>
      </c>
    </row>
    <row r="112" customFormat="false" ht="12.8" hidden="false" customHeight="false" outlineLevel="0" collapsed="false">
      <c r="A112" s="79" t="str">
        <f aca="false">IF(ISBLANK(D112),"-",IF(AND($A$6,$A$4/2&lt;AD112),AG112,AD112))</f>
        <v>-</v>
      </c>
      <c r="B112" s="79" t="str">
        <f aca="false">IF(ISBLANK(D112),"-",VLOOKUP(MOD(C112-Paramètres!$B$54,12)+1,Paramètres!$B$40:$C$52,2)&amp;" "&amp;(TRUNC((C112-Paramètres!$B$54+120)/12)-10+1))</f>
        <v>-</v>
      </c>
      <c r="C112" s="11" t="str">
        <f aca="false">IF(ISBLANK(D112),"-",C111+1)</f>
        <v>-</v>
      </c>
      <c r="D112" s="25"/>
      <c r="E112" s="6"/>
      <c r="F112" s="6"/>
      <c r="G112" s="25"/>
      <c r="H112" s="25"/>
      <c r="I112" s="80" t="str">
        <f aca="false">IF(ISBLANK(D112),"",IF(F112&gt;0,AU112/AT112,AM112))</f>
        <v/>
      </c>
      <c r="J112" s="81" t="str">
        <f aca="false">IF(ISBLANK(D112),"",IF(AQ112,"","]"&amp;AO112&amp;" -- "&amp;AP112&amp;"["))</f>
        <v/>
      </c>
      <c r="K112" s="80" t="str">
        <f aca="false">IF(ISBLANK(D112),"",BA112)</f>
        <v/>
      </c>
      <c r="L112" s="82" t="str">
        <f aca="false">IF(ISBLANK(D112),"",IF(F112&gt;0,BF112,BF112))</f>
        <v/>
      </c>
      <c r="M112" s="80" t="str">
        <f aca="false">IF(ISBLANK(D112),"",IF(F112&gt;0,"-",N112/(2^(1/12)-1)))</f>
        <v/>
      </c>
      <c r="N112" s="83" t="str">
        <f aca="false">IF(ISBLANK(D112),"",IF(F112&gt;0,"-",1.5*L112))</f>
        <v/>
      </c>
      <c r="O112" s="12" t="str">
        <f aca="false">IF(ISBLANK(D112),"",IF(F112&gt;0,AU112,AK112))</f>
        <v/>
      </c>
      <c r="P112" s="12" t="str">
        <f aca="false">IF(ISBLANK(D112),"",IF(F112&gt;0,AU112*G112,AL112))</f>
        <v/>
      </c>
      <c r="Q112" s="84"/>
      <c r="R112" s="12" t="str">
        <f aca="false">IF(ISBLANK(D112),"",AT112*Q112)</f>
        <v/>
      </c>
      <c r="S112" s="13" t="str">
        <f aca="false">IF(ISBLANK(D112),"",AJ112)</f>
        <v/>
      </c>
      <c r="T112" s="85" t="str">
        <f aca="false">IF(ISBLANK(F112),"",ROUND(S112*10*G112,0)/10/G112)</f>
        <v/>
      </c>
      <c r="U112" s="86" t="str">
        <f aca="false">IF(F112&gt;0,(AJ112-E112)/2,"")</f>
        <v/>
      </c>
      <c r="V112" s="86" t="str">
        <f aca="false">IF(F112&gt;0,AN112,"")</f>
        <v/>
      </c>
      <c r="W112" s="87" t="str">
        <f aca="false">IF(F112&gt;0,IF(U112&lt;Paramètres!$B$5,"!!!",""),"")</f>
        <v/>
      </c>
      <c r="X112" s="88" t="str">
        <f aca="false">IF(U112&lt;&gt;"",IF(U112/3&gt;=Paramètres!$B$5,(S112-E112)/2/3,""),"")</f>
        <v/>
      </c>
      <c r="Y112" s="88" t="str">
        <f aca="false">IF(U112&lt;&gt;"",IF(U112/3&gt;=Paramètres!$B$5,AV112,""),"")</f>
        <v/>
      </c>
      <c r="Z112" s="88" t="str">
        <f aca="false">IF(X112&lt;&gt;"",Y112*2,"")</f>
        <v/>
      </c>
      <c r="AB112" s="1"/>
      <c r="AC112" s="79" t="e">
        <f aca="false">INDEX('Charge de rupture par diamètre'!$C$1:$AC$1,AR112)</f>
        <v>#N/A</v>
      </c>
      <c r="AD112" s="13" t="str">
        <f aca="false">IF(ISBLANK(D112),"-",$A$4/16 * 2^((C112-1)/12))</f>
        <v>-</v>
      </c>
      <c r="AE112" s="13" t="e">
        <f aca="false">AG112/(AG$9*SQRT(1+$L112*AG$9^2))</f>
        <v>#VALUE!</v>
      </c>
      <c r="AF112" s="13" t="e">
        <f aca="false">$AE112*AF$9*SQRT(1+$L112*AF$9^2)</f>
        <v>#VALUE!</v>
      </c>
      <c r="AG112" s="13"/>
      <c r="AH112" s="19" t="n">
        <f aca="false">IF(AND(C112&gt;12,F100="",AD112&gt;$A$4),AH100*2*(1+N100),IF(AD112&gt;=$A$4/2,AD112,AD112))</f>
        <v>8852.49030547539</v>
      </c>
      <c r="AI112" s="19" t="n">
        <f aca="false">IF(AND(C112&gt;12,F100="",AD112&gt;$A$4),AH100*2*(1+N100),IF(AD112&gt;=$A$4/2,AD112,AH124/2/(1+N112)))</f>
        <v>8852.49030547539</v>
      </c>
      <c r="AJ112" s="85" t="str">
        <f aca="false">IF(Q112&gt;0,((R112*10^12/PI()/A112^2/D112^2-Paramètres!$B$7*E112^2)*4/PI()/Paramètres!$B$8+E112^2)^0.5,"")</f>
        <v/>
      </c>
      <c r="AK112" s="12" t="e">
        <f aca="false">PI()*Paramètres!$B$7*(E112*A112*D112)^2/10^12</f>
        <v>#VALUE!</v>
      </c>
      <c r="AL112" s="12" t="e">
        <f aca="false">AK112*G112</f>
        <v>#VALUE!</v>
      </c>
      <c r="AM112" s="80" t="e">
        <f aca="false">AK112/AT112</f>
        <v>#N/A</v>
      </c>
      <c r="AN112" s="85" t="e">
        <f aca="false">(-E112+0.1*Paramètres!$B$7/E112/Paramètres!$B$8/PI()*(AW112^2-E112^2)+(E112^2+3.8*Paramètres!$B$7/Paramètres!$B$8/PI()*(AW112^2-E112^2))^0.5)/2</f>
        <v>#DIV/0!</v>
      </c>
      <c r="AO112" s="85" t="e">
        <f aca="false">VLOOKUP(C112,Paramètres!$C$30:$F$37,2,1)</f>
        <v>#N/A</v>
      </c>
      <c r="AP112" s="85" t="e">
        <f aca="false">VLOOKUP(C112,Paramètres!$C$30:$F$37,4,1)</f>
        <v>#N/A</v>
      </c>
      <c r="AQ112" s="11" t="e">
        <f aca="false">AND(I112&gt;=AO112,I112&lt;=AP112)</f>
        <v>#N/A</v>
      </c>
      <c r="AR112" s="12" t="e">
        <f aca="false">HLOOKUP(H112,'Charge de rupture par diamètre'!$D$16:$AC$17,2,0)</f>
        <v>#N/A</v>
      </c>
      <c r="AS112" s="12" t="e">
        <f aca="false">VLOOKUP(E112,'Charge de rupture par diamètre'!$C$16:$AC$53,AR112,1)</f>
        <v>#N/A</v>
      </c>
      <c r="AT112" s="12" t="e">
        <f aca="false">AS112*Paramètres!$B$9</f>
        <v>#N/A</v>
      </c>
      <c r="AU112" s="79" t="e">
        <f aca="false">PI()*A112^2*D112^2*(Paramètres!$B$7*E112^2+Paramètres!$B$8*PI()/4*(F112^2-E112^2))/10^12</f>
        <v>#VALUE!</v>
      </c>
      <c r="AV112" s="13" t="e">
        <f aca="false">0.183*(-E112+(E112^2+4*Paramètres!$B$7/PI()/Paramètres!$B$8*(AW112^2-E112^2))^0.5)</f>
        <v>#VALUE!</v>
      </c>
      <c r="AW112" s="85" t="e">
        <f aca="false">(R112/PI()/Paramètres!$B$7)^0.5/A112/D112*10^6</f>
        <v>#VALUE!</v>
      </c>
      <c r="AX112" s="12" t="e">
        <f aca="false">Q112*VLOOKUP(H112,Paramètres!$B$15:$C$18,2,0)*Paramètres!$B$9</f>
        <v>#N/A</v>
      </c>
      <c r="AY112" s="13" t="e">
        <f aca="false">(AX112/PI()/Paramètres!$B$7)^0.5/A112/D112*10^6</f>
        <v>#N/A</v>
      </c>
      <c r="AZ112" s="12" t="n">
        <f aca="false">(IF(F112&gt;0,(F112*F112 -E112*E112)/Paramètres!$B$7*Paramètres!$B$8,0)+E112*E112)*D112*G112</f>
        <v>0</v>
      </c>
      <c r="BA112" s="80" t="e">
        <f aca="false">-1+AZ112/AZ111</f>
        <v>#DIV/0!</v>
      </c>
      <c r="BB112" s="80" t="e">
        <f aca="false">IF(F112&gt;0,"",0.234*Paramètres!$B$12*10^9*IF(F112&gt;0,E112,E112)^2/Paramètres!$B$7/A112^2/D112^4*10^6)</f>
        <v>#VALUE!</v>
      </c>
      <c r="BC112" s="11" t="n">
        <v>2</v>
      </c>
      <c r="BD112" s="80" t="e">
        <f aca="false">BC112*SQRT(1+L112*BC112^2)-BC112</f>
        <v>#VALUE!</v>
      </c>
      <c r="BE112" s="11" t="str">
        <f aca="false">IF(F112&gt;0,PI()^2*Paramètres!$B$12*10^9/8/O112*(E112^4+E112^2*F112^2)*10^-12/D112^2/10^-6,"-")</f>
        <v>-</v>
      </c>
      <c r="BF112" s="11" t="str">
        <f aca="false">IF(ISBLANK(D112),"-",PI()^3*E112^4*Paramètres!$B$12*10^9/64/O112/(D112/1000)^2*10^-12)</f>
        <v>-</v>
      </c>
      <c r="BG112" s="90" t="e">
        <f aca="false">(Paramètres!$B$12*10^9)^0.5/Paramètres!$B$7/2/D112*1000</f>
        <v>#DIV/0!</v>
      </c>
    </row>
    <row r="113" customFormat="false" ht="12.8" hidden="false" customHeight="false" outlineLevel="0" collapsed="false">
      <c r="A113" s="79" t="str">
        <f aca="false">IF(ISBLANK(D113),"-",IF(AND($A$6,$A$4/2&lt;AD113),AG113,AD113))</f>
        <v>-</v>
      </c>
      <c r="B113" s="79" t="str">
        <f aca="false">IF(ISBLANK(D113),"-",VLOOKUP(MOD(C113-Paramètres!$B$54,12)+1,Paramètres!$B$40:$C$52,2)&amp;" "&amp;(TRUNC((C113-Paramètres!$B$54+120)/12)-10+1))</f>
        <v>-</v>
      </c>
      <c r="C113" s="11" t="str">
        <f aca="false">IF(ISBLANK(D113),"-",C112+1)</f>
        <v>-</v>
      </c>
      <c r="D113" s="25"/>
      <c r="E113" s="6"/>
      <c r="F113" s="6"/>
      <c r="G113" s="25"/>
      <c r="H113" s="25"/>
      <c r="I113" s="80" t="str">
        <f aca="false">IF(ISBLANK(D113),"",IF(F113&gt;0,AU113/AT113,AM113))</f>
        <v/>
      </c>
      <c r="J113" s="81" t="str">
        <f aca="false">IF(ISBLANK(D113),"",IF(AQ113,"","]"&amp;AO113&amp;" -- "&amp;AP113&amp;"["))</f>
        <v/>
      </c>
      <c r="K113" s="80" t="str">
        <f aca="false">IF(ISBLANK(D113),"",BA113)</f>
        <v/>
      </c>
      <c r="L113" s="82" t="str">
        <f aca="false">IF(ISBLANK(D113),"",IF(F113&gt;0,BF113,BF113))</f>
        <v/>
      </c>
      <c r="M113" s="80" t="str">
        <f aca="false">IF(ISBLANK(D113),"",IF(F113&gt;0,"-",N113/(2^(1/12)-1)))</f>
        <v/>
      </c>
      <c r="N113" s="83" t="str">
        <f aca="false">IF(ISBLANK(D113),"",IF(F113&gt;0,"-",1.5*L113))</f>
        <v/>
      </c>
      <c r="O113" s="12" t="str">
        <f aca="false">IF(ISBLANK(D113),"",IF(F113&gt;0,AU113,AK113))</f>
        <v/>
      </c>
      <c r="P113" s="12" t="str">
        <f aca="false">IF(ISBLANK(D113),"",IF(F113&gt;0,AU113*G113,AL113))</f>
        <v/>
      </c>
      <c r="Q113" s="84"/>
      <c r="R113" s="12" t="str">
        <f aca="false">IF(ISBLANK(D113),"",AT113*Q113)</f>
        <v/>
      </c>
      <c r="S113" s="13" t="str">
        <f aca="false">IF(ISBLANK(D113),"",AJ113)</f>
        <v/>
      </c>
      <c r="T113" s="85" t="str">
        <f aca="false">IF(ISBLANK(F113),"",ROUND(S113*10*G113,0)/10/G113)</f>
        <v/>
      </c>
      <c r="U113" s="86" t="str">
        <f aca="false">IF(F113&gt;0,(AJ113-E113)/2,"")</f>
        <v/>
      </c>
      <c r="V113" s="86" t="str">
        <f aca="false">IF(F113&gt;0,AN113,"")</f>
        <v/>
      </c>
      <c r="W113" s="87" t="str">
        <f aca="false">IF(F113&gt;0,IF(U113&lt;Paramètres!$B$5,"!!!",""),"")</f>
        <v/>
      </c>
      <c r="X113" s="88" t="str">
        <f aca="false">IF(U113&lt;&gt;"",IF(U113/3&gt;=Paramètres!$B$5,(S113-E113)/2/3,""),"")</f>
        <v/>
      </c>
      <c r="Y113" s="88" t="str">
        <f aca="false">IF(U113&lt;&gt;"",IF(U113/3&gt;=Paramètres!$B$5,AV113,""),"")</f>
        <v/>
      </c>
      <c r="Z113" s="88" t="str">
        <f aca="false">IF(X113&lt;&gt;"",Y113*2,"")</f>
        <v/>
      </c>
      <c r="AB113" s="1"/>
      <c r="AC113" s="79" t="e">
        <f aca="false">INDEX('Charge de rupture par diamètre'!$C$1:$AC$1,AR113)</f>
        <v>#N/A</v>
      </c>
      <c r="AD113" s="13" t="str">
        <f aca="false">IF(ISBLANK(D113),"-",$A$4/16 * 2^((C113-1)/12))</f>
        <v>-</v>
      </c>
      <c r="AE113" s="13" t="e">
        <f aca="false">AG113/(AG$9*SQRT(1+$L113*AG$9^2))</f>
        <v>#VALUE!</v>
      </c>
      <c r="AF113" s="13" t="e">
        <f aca="false">$AE113*AF$9*SQRT(1+$L113*AF$9^2)</f>
        <v>#VALUE!</v>
      </c>
      <c r="AG113" s="13"/>
      <c r="AH113" s="19" t="e">
        <f aca="false">IF(AND(C113&gt;12,F101="",AD113&gt;$A$4),AH101*2*(1+N101),IF(AD113&gt;=$A$4/2,AD113,AD113))</f>
        <v>#VALUE!</v>
      </c>
      <c r="AI113" s="19" t="e">
        <f aca="false">IF(AND(C113&gt;12,F101="",AD113&gt;$A$4),AH101*2*(1+N101),IF(AD113&gt;=$A$4/2,AD113,AH125/2/(1+N113)))</f>
        <v>#VALUE!</v>
      </c>
      <c r="AJ113" s="85" t="str">
        <f aca="false">IF(Q113&gt;0,((R113*10^12/PI()/A113^2/D113^2-Paramètres!$B$7*E113^2)*4/PI()/Paramètres!$B$8+E113^2)^0.5,"")</f>
        <v/>
      </c>
      <c r="AK113" s="12" t="e">
        <f aca="false">PI()*Paramètres!$B$7*(E113*A113*D113)^2/10^12</f>
        <v>#VALUE!</v>
      </c>
      <c r="AL113" s="12" t="e">
        <f aca="false">AK113*G113</f>
        <v>#VALUE!</v>
      </c>
      <c r="AM113" s="80" t="e">
        <f aca="false">AK113/AT113</f>
        <v>#N/A</v>
      </c>
      <c r="AN113" s="85" t="e">
        <f aca="false">(-E113+0.1*Paramètres!$B$7/E113/Paramètres!$B$8/PI()*(AW113^2-E113^2)+(E113^2+3.8*Paramètres!$B$7/Paramètres!$B$8/PI()*(AW113^2-E113^2))^0.5)/2</f>
        <v>#DIV/0!</v>
      </c>
      <c r="AO113" s="85" t="e">
        <f aca="false">VLOOKUP(C113,Paramètres!$C$30:$F$37,2,1)</f>
        <v>#N/A</v>
      </c>
      <c r="AP113" s="85" t="e">
        <f aca="false">VLOOKUP(C113,Paramètres!$C$30:$F$37,4,1)</f>
        <v>#N/A</v>
      </c>
      <c r="AQ113" s="11" t="e">
        <f aca="false">AND(I113&gt;=AO113,I113&lt;=AP113)</f>
        <v>#N/A</v>
      </c>
      <c r="AR113" s="12" t="e">
        <f aca="false">HLOOKUP(H113,'Charge de rupture par diamètre'!$D$16:$AC$17,2,0)</f>
        <v>#N/A</v>
      </c>
      <c r="AS113" s="12" t="e">
        <f aca="false">VLOOKUP(E113,'Charge de rupture par diamètre'!$C$16:$AC$53,AR113,1)</f>
        <v>#N/A</v>
      </c>
      <c r="AT113" s="12" t="e">
        <f aca="false">AS113*Paramètres!$B$9</f>
        <v>#N/A</v>
      </c>
      <c r="AU113" s="79" t="e">
        <f aca="false">PI()*A113^2*D113^2*(Paramètres!$B$7*E113^2+Paramètres!$B$8*PI()/4*(F113^2-E113^2))/10^12</f>
        <v>#VALUE!</v>
      </c>
      <c r="AV113" s="13" t="e">
        <f aca="false">0.183*(-E113+(E113^2+4*Paramètres!$B$7/PI()/Paramètres!$B$8*(AW113^2-E113^2))^0.5)</f>
        <v>#VALUE!</v>
      </c>
      <c r="AW113" s="85" t="e">
        <f aca="false">(R113/PI()/Paramètres!$B$7)^0.5/A113/D113*10^6</f>
        <v>#VALUE!</v>
      </c>
      <c r="AX113" s="12" t="e">
        <f aca="false">Q113*VLOOKUP(H113,Paramètres!$B$15:$C$18,2,0)*Paramètres!$B$9</f>
        <v>#N/A</v>
      </c>
      <c r="AY113" s="13" t="e">
        <f aca="false">(AX113/PI()/Paramètres!$B$7)^0.5/A113/D113*10^6</f>
        <v>#N/A</v>
      </c>
      <c r="AZ113" s="12" t="n">
        <f aca="false">(IF(F113&gt;0,(F113*F113 -E113*E113)/Paramètres!$B$7*Paramètres!$B$8,0)+E113*E113)*D113*G113</f>
        <v>0</v>
      </c>
      <c r="BA113" s="80" t="e">
        <f aca="false">-1+AZ113/AZ112</f>
        <v>#DIV/0!</v>
      </c>
      <c r="BB113" s="80" t="e">
        <f aca="false">IF(F113&gt;0,"",0.234*Paramètres!$B$12*10^9*IF(F113&gt;0,E113,E113)^2/Paramètres!$B$7/A113^2/D113^4*10^6)</f>
        <v>#VALUE!</v>
      </c>
      <c r="BC113" s="11" t="n">
        <v>2</v>
      </c>
      <c r="BD113" s="80" t="e">
        <f aca="false">BC113*SQRT(1+L113*BC113^2)-BC113</f>
        <v>#VALUE!</v>
      </c>
      <c r="BE113" s="11" t="str">
        <f aca="false">IF(F113&gt;0,PI()^2*Paramètres!$B$12*10^9/8/O113*(E113^4+E113^2*F113^2)*10^-12/D113^2/10^-6,"-")</f>
        <v>-</v>
      </c>
      <c r="BF113" s="11" t="str">
        <f aca="false">IF(ISBLANK(D113),"-",PI()^3*E113^4*Paramètres!$B$12*10^9/64/O113/(D113/1000)^2*10^-12)</f>
        <v>-</v>
      </c>
      <c r="BG113" s="90" t="e">
        <f aca="false">(Paramètres!$B$12*10^9)^0.5/Paramètres!$B$7/2/D113*1000</f>
        <v>#DIV/0!</v>
      </c>
    </row>
    <row r="114" customFormat="false" ht="12.8" hidden="false" customHeight="false" outlineLevel="0" collapsed="false">
      <c r="A114" s="79" t="str">
        <f aca="false">IF(ISBLANK(D114),"-",IF(AND($A$6,$A$4/2&lt;AD114),AG114,AD114))</f>
        <v>-</v>
      </c>
      <c r="B114" s="79" t="str">
        <f aca="false">IF(ISBLANK(D114),"-",VLOOKUP(MOD(C114-Paramètres!$B$54,12)+1,Paramètres!$B$40:$C$52,2)&amp;" "&amp;(TRUNC((C114-Paramètres!$B$54+120)/12)-10+1))</f>
        <v>-</v>
      </c>
      <c r="C114" s="11" t="str">
        <f aca="false">IF(ISBLANK(D114),"-",C113+1)</f>
        <v>-</v>
      </c>
      <c r="D114" s="25"/>
      <c r="E114" s="6"/>
      <c r="F114" s="6"/>
      <c r="G114" s="25"/>
      <c r="H114" s="25"/>
      <c r="I114" s="80" t="str">
        <f aca="false">IF(ISBLANK(D114),"",IF(F114&gt;0,AU114/AT114,AM114))</f>
        <v/>
      </c>
      <c r="J114" s="81" t="str">
        <f aca="false">IF(ISBLANK(D114),"",IF(AQ114,"","]"&amp;AO114&amp;" -- "&amp;AP114&amp;"["))</f>
        <v/>
      </c>
      <c r="K114" s="80" t="str">
        <f aca="false">IF(ISBLANK(D114),"",BA114)</f>
        <v/>
      </c>
      <c r="L114" s="82" t="str">
        <f aca="false">IF(ISBLANK(D114),"",IF(F114&gt;0,BF114,BF114))</f>
        <v/>
      </c>
      <c r="M114" s="80" t="str">
        <f aca="false">IF(ISBLANK(D114),"",IF(F114&gt;0,"-",N114/(2^(1/12)-1)))</f>
        <v/>
      </c>
      <c r="N114" s="83" t="str">
        <f aca="false">IF(ISBLANK(D114),"",IF(F114&gt;0,"-",1.5*L114))</f>
        <v/>
      </c>
      <c r="O114" s="12" t="str">
        <f aca="false">IF(ISBLANK(D114),"",IF(F114&gt;0,AU114,AK114))</f>
        <v/>
      </c>
      <c r="P114" s="12" t="str">
        <f aca="false">IF(ISBLANK(D114),"",IF(F114&gt;0,AU114*G114,AL114))</f>
        <v/>
      </c>
      <c r="Q114" s="84"/>
      <c r="R114" s="12" t="str">
        <f aca="false">IF(ISBLANK(D114),"",AT114*Q114)</f>
        <v/>
      </c>
      <c r="S114" s="13" t="str">
        <f aca="false">IF(ISBLANK(D114),"",AJ114)</f>
        <v/>
      </c>
      <c r="T114" s="85" t="str">
        <f aca="false">IF(ISBLANK(F114),"",ROUND(S114*10*G114,0)/10/G114)</f>
        <v/>
      </c>
      <c r="U114" s="86" t="str">
        <f aca="false">IF(F114&gt;0,(AJ114-E114)/2,"")</f>
        <v/>
      </c>
      <c r="V114" s="86" t="str">
        <f aca="false">IF(F114&gt;0,AN114,"")</f>
        <v/>
      </c>
      <c r="W114" s="87" t="str">
        <f aca="false">IF(F114&gt;0,IF(U114&lt;Paramètres!$B$5,"!!!",""),"")</f>
        <v/>
      </c>
      <c r="X114" s="88" t="str">
        <f aca="false">IF(U114&lt;&gt;"",IF(U114/3&gt;=Paramètres!$B$5,(S114-E114)/2/3,""),"")</f>
        <v/>
      </c>
      <c r="Y114" s="88" t="str">
        <f aca="false">IF(U114&lt;&gt;"",IF(U114/3&gt;=Paramètres!$B$5,AV114,""),"")</f>
        <v/>
      </c>
      <c r="Z114" s="88" t="str">
        <f aca="false">IF(X114&lt;&gt;"",Y114*2,"")</f>
        <v/>
      </c>
      <c r="AB114" s="1"/>
      <c r="AC114" s="79" t="e">
        <f aca="false">INDEX('Charge de rupture par diamètre'!$C$1:$AC$1,AR114)</f>
        <v>#N/A</v>
      </c>
      <c r="AD114" s="13" t="str">
        <f aca="false">IF(ISBLANK(D114),"-",$A$4/16 * 2^((C114-1)/12))</f>
        <v>-</v>
      </c>
      <c r="AE114" s="13" t="e">
        <f aca="false">AG114/(AG$9*SQRT(1+$L114*AG$9^2))</f>
        <v>#VALUE!</v>
      </c>
      <c r="AF114" s="13" t="e">
        <f aca="false">$AE114*AF$9*SQRT(1+$L114*AF$9^2)</f>
        <v>#VALUE!</v>
      </c>
      <c r="AG114" s="13"/>
      <c r="AH114" s="19" t="e">
        <f aca="false">IF(AND(C114&gt;12,F102="",AD114&gt;$A$4),AH102*2*(1+N102),IF(AD114&gt;=$A$4/2,AD114,AD114))</f>
        <v>#VALUE!</v>
      </c>
      <c r="AI114" s="19" t="e">
        <f aca="false">IF(AND(C114&gt;12,F102="",AD114&gt;$A$4),AH102*2*(1+N102),IF(AD114&gt;=$A$4/2,AD114,AH126/2/(1+N114)))</f>
        <v>#VALUE!</v>
      </c>
      <c r="AJ114" s="85" t="str">
        <f aca="false">IF(Q114&gt;0,((R114*10^12/PI()/A114^2/D114^2-Paramètres!$B$7*E114^2)*4/PI()/Paramètres!$B$8+E114^2)^0.5,"")</f>
        <v/>
      </c>
      <c r="AK114" s="12" t="e">
        <f aca="false">PI()*Paramètres!$B$7*(E114*A114*D114)^2/10^12</f>
        <v>#VALUE!</v>
      </c>
      <c r="AL114" s="12" t="e">
        <f aca="false">AK114*G114</f>
        <v>#VALUE!</v>
      </c>
      <c r="AM114" s="80" t="e">
        <f aca="false">AK114/AT114</f>
        <v>#N/A</v>
      </c>
      <c r="AN114" s="85" t="e">
        <f aca="false">(-E114+0.1*Paramètres!$B$7/E114/Paramètres!$B$8/PI()*(AW114^2-E114^2)+(E114^2+3.8*Paramètres!$B$7/Paramètres!$B$8/PI()*(AW114^2-E114^2))^0.5)/2</f>
        <v>#DIV/0!</v>
      </c>
      <c r="AO114" s="85" t="e">
        <f aca="false">VLOOKUP(C114,Paramètres!$C$30:$F$37,2,1)</f>
        <v>#N/A</v>
      </c>
      <c r="AP114" s="85" t="e">
        <f aca="false">VLOOKUP(C114,Paramètres!$C$30:$F$37,4,1)</f>
        <v>#N/A</v>
      </c>
      <c r="AQ114" s="11" t="e">
        <f aca="false">AND(I114&gt;=AO114,I114&lt;=AP114)</f>
        <v>#N/A</v>
      </c>
      <c r="AR114" s="12" t="e">
        <f aca="false">HLOOKUP(H114,'Charge de rupture par diamètre'!$D$16:$AC$17,2,0)</f>
        <v>#N/A</v>
      </c>
      <c r="AS114" s="12" t="e">
        <f aca="false">VLOOKUP(E114,'Charge de rupture par diamètre'!$C$16:$AC$53,AR114,1)</f>
        <v>#N/A</v>
      </c>
      <c r="AT114" s="12" t="e">
        <f aca="false">AS114*Paramètres!$B$9</f>
        <v>#N/A</v>
      </c>
      <c r="AU114" s="79" t="e">
        <f aca="false">PI()*A114^2*D114^2*(Paramètres!$B$7*E114^2+Paramètres!$B$8*PI()/4*(F114^2-E114^2))/10^12</f>
        <v>#VALUE!</v>
      </c>
      <c r="AV114" s="13" t="e">
        <f aca="false">0.183*(-E114+(E114^2+4*Paramètres!$B$7/PI()/Paramètres!$B$8*(AW114^2-E114^2))^0.5)</f>
        <v>#VALUE!</v>
      </c>
      <c r="AW114" s="85" t="e">
        <f aca="false">(R114/PI()/Paramètres!$B$7)^0.5/A114/D114*10^6</f>
        <v>#VALUE!</v>
      </c>
      <c r="AX114" s="12" t="e">
        <f aca="false">Q114*VLOOKUP(H114,Paramètres!$B$15:$C$18,2,0)*Paramètres!$B$9</f>
        <v>#N/A</v>
      </c>
      <c r="AY114" s="13" t="e">
        <f aca="false">(AX114/PI()/Paramètres!$B$7)^0.5/A114/D114*10^6</f>
        <v>#N/A</v>
      </c>
      <c r="AZ114" s="12" t="n">
        <f aca="false">(IF(F114&gt;0,(F114*F114 -E114*E114)/Paramètres!$B$7*Paramètres!$B$8,0)+E114*E114)*D114*G114</f>
        <v>0</v>
      </c>
      <c r="BA114" s="80" t="e">
        <f aca="false">-1+AZ114/AZ113</f>
        <v>#DIV/0!</v>
      </c>
      <c r="BB114" s="80" t="e">
        <f aca="false">IF(F114&gt;0,"",0.234*Paramètres!$B$12*10^9*IF(F114&gt;0,E114,E114)^2/Paramètres!$B$7/A114^2/D114^4*10^6)</f>
        <v>#VALUE!</v>
      </c>
      <c r="BC114" s="11" t="n">
        <v>2</v>
      </c>
      <c r="BD114" s="80" t="e">
        <f aca="false">BC114*SQRT(1+L114*BC114^2)-BC114</f>
        <v>#VALUE!</v>
      </c>
      <c r="BE114" s="11" t="str">
        <f aca="false">IF(F114&gt;0,PI()^2*Paramètres!$B$12*10^9/8/O114*(E114^4+E114^2*F114^2)*10^-12/D114^2/10^-6,"-")</f>
        <v>-</v>
      </c>
      <c r="BF114" s="11" t="str">
        <f aca="false">IF(ISBLANK(D114),"-",PI()^3*E114^4*Paramètres!$B$12*10^9/64/O114/(D114/1000)^2*10^-12)</f>
        <v>-</v>
      </c>
      <c r="BG114" s="90" t="e">
        <f aca="false">(Paramètres!$B$12*10^9)^0.5/Paramètres!$B$7/2/D114*1000</f>
        <v>#DIV/0!</v>
      </c>
    </row>
    <row r="115" customFormat="false" ht="12.8" hidden="false" customHeight="false" outlineLevel="0" collapsed="false">
      <c r="A115" s="91" t="s">
        <v>76</v>
      </c>
      <c r="B115" s="91" t="s">
        <v>76</v>
      </c>
      <c r="C115" s="91" t="s">
        <v>76</v>
      </c>
      <c r="D115" s="91" t="s">
        <v>76</v>
      </c>
      <c r="E115" s="91" t="s">
        <v>76</v>
      </c>
      <c r="F115" s="91" t="s">
        <v>76</v>
      </c>
      <c r="G115" s="91" t="s">
        <v>76</v>
      </c>
      <c r="H115" s="91" t="s">
        <v>76</v>
      </c>
      <c r="I115" s="91" t="s">
        <v>76</v>
      </c>
      <c r="J115" s="91" t="s">
        <v>76</v>
      </c>
      <c r="K115" s="91" t="s">
        <v>76</v>
      </c>
      <c r="L115" s="91" t="s">
        <v>76</v>
      </c>
      <c r="M115" s="91" t="s">
        <v>76</v>
      </c>
      <c r="N115" s="91" t="s">
        <v>76</v>
      </c>
      <c r="O115" s="91" t="s">
        <v>76</v>
      </c>
      <c r="P115" s="91" t="s">
        <v>76</v>
      </c>
      <c r="Q115" s="92" t="s">
        <v>76</v>
      </c>
      <c r="R115" s="91" t="s">
        <v>76</v>
      </c>
      <c r="S115" s="91" t="s">
        <v>76</v>
      </c>
      <c r="T115" s="91" t="s">
        <v>76</v>
      </c>
      <c r="U115" s="91" t="s">
        <v>76</v>
      </c>
      <c r="V115" s="91" t="s">
        <v>76</v>
      </c>
      <c r="W115" s="91" t="s">
        <v>76</v>
      </c>
      <c r="X115" s="91" t="s">
        <v>76</v>
      </c>
      <c r="Y115" s="91" t="s">
        <v>76</v>
      </c>
      <c r="Z115" s="91" t="s">
        <v>76</v>
      </c>
      <c r="AA115" s="91" t="s">
        <v>76</v>
      </c>
      <c r="AB115" s="91" t="s">
        <v>76</v>
      </c>
      <c r="AC115" s="91" t="s">
        <v>76</v>
      </c>
      <c r="AD115" s="93" t="s">
        <v>76</v>
      </c>
      <c r="AE115" s="93" t="s">
        <v>76</v>
      </c>
      <c r="AF115" s="93" t="s">
        <v>76</v>
      </c>
      <c r="AG115" s="93" t="s">
        <v>76</v>
      </c>
      <c r="AH115" s="93" t="s">
        <v>76</v>
      </c>
      <c r="AI115" s="94" t="s">
        <v>76</v>
      </c>
      <c r="AJ115" s="91" t="s">
        <v>76</v>
      </c>
      <c r="AK115" s="91" t="s">
        <v>76</v>
      </c>
      <c r="AL115" s="91" t="s">
        <v>76</v>
      </c>
      <c r="AM115" s="91" t="s">
        <v>76</v>
      </c>
      <c r="AN115" s="91" t="s">
        <v>76</v>
      </c>
      <c r="AO115" s="91" t="s">
        <v>76</v>
      </c>
      <c r="AP115" s="91" t="s">
        <v>76</v>
      </c>
      <c r="AQ115" s="91" t="s">
        <v>76</v>
      </c>
      <c r="AR115" s="91" t="s">
        <v>76</v>
      </c>
      <c r="AS115" s="91" t="s">
        <v>76</v>
      </c>
      <c r="AT115" s="91" t="s">
        <v>76</v>
      </c>
      <c r="AU115" s="91" t="s">
        <v>76</v>
      </c>
      <c r="AV115" s="91" t="s">
        <v>76</v>
      </c>
      <c r="AW115" s="91" t="s">
        <v>76</v>
      </c>
      <c r="AX115" s="91" t="s">
        <v>76</v>
      </c>
      <c r="AY115" s="91" t="s">
        <v>76</v>
      </c>
      <c r="AZ115" s="91" t="s">
        <v>76</v>
      </c>
      <c r="BA115" s="91" t="s">
        <v>76</v>
      </c>
      <c r="BB115" s="91" t="s">
        <v>76</v>
      </c>
      <c r="BC115" s="91" t="s">
        <v>76</v>
      </c>
      <c r="BD115" s="91" t="s">
        <v>76</v>
      </c>
      <c r="BE115" s="91" t="s">
        <v>76</v>
      </c>
      <c r="BF115" s="91" t="s">
        <v>76</v>
      </c>
      <c r="BG115" s="91" t="s">
        <v>76</v>
      </c>
    </row>
  </sheetData>
  <sheetProtection sheet="true" password="ab7c" objects="true" scenarios="true"/>
  <conditionalFormatting sqref="L13">
    <cfRule type="expression" priority="2" aboveAverage="0" equalAverage="0" bottom="0" percent="0" rank="0" text="" dxfId="0">
      <formula>'Plan de cordes et filage'!$F$12&gt;0</formula>
    </cfRule>
  </conditionalFormatting>
  <conditionalFormatting sqref="L13:L114">
    <cfRule type="expression" priority="3" aboveAverage="0" equalAverage="0" bottom="0" percent="0" rank="0" text="" dxfId="0">
      <formula>F13:F114&gt;0</formula>
    </cfRule>
  </conditionalFormatting>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&amp;CPlan de cordes filées et sollicitations d'un piano</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
  <sheetViews>
    <sheetView showFormulas="false" showGridLines="true" showRowColHeaders="true" showZeros="true" rightToLeft="false" tabSelected="false" showOutlineSymbols="true" defaultGridColor="true" view="normal" topLeftCell="A15" colorId="64" zoomScale="90" zoomScaleNormal="90" zoomScalePageLayoutView="10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horizontalDpi="300" verticalDpi="300" copies="1"/>
  <headerFooter differentFirst="false" differentOddEven="false">
    <oddHeader>&amp;CPlan de cordes filées et sollicitations d'un piano</oddHeader>
    <oddFooter>&amp;CPage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8" activeCellId="0" sqref="D8"/>
    </sheetView>
  </sheetViews>
  <sheetFormatPr defaultColWidth="11.53515625" defaultRowHeight="12.8" customHeight="true" zeroHeight="false" outlineLevelRow="0" outlineLevelCol="0"/>
  <cols>
    <col collapsed="false" customWidth="true" hidden="false" outlineLevel="0" max="1" min="1" style="1" width="1.85"/>
    <col collapsed="false" customWidth="true" hidden="false" outlineLevel="0" max="2" min="2" style="1" width="15.92"/>
  </cols>
  <sheetData>
    <row r="1" customFormat="false" ht="12.8" hidden="false" customHeight="false" outlineLevel="0" collapsed="false">
      <c r="B1" s="1" t="s">
        <v>77</v>
      </c>
      <c r="C1" s="1" t="s">
        <v>78</v>
      </c>
    </row>
    <row r="2" customFormat="false" ht="12.8" hidden="false" customHeight="false" outlineLevel="0" collapsed="false">
      <c r="B2" s="1" t="s">
        <v>79</v>
      </c>
      <c r="C2" s="1" t="s">
        <v>80</v>
      </c>
    </row>
    <row r="3" customFormat="false" ht="12.8" hidden="false" customHeight="false" outlineLevel="0" collapsed="false">
      <c r="B3" s="25"/>
      <c r="C3" s="1"/>
      <c r="D3" s="1"/>
    </row>
    <row r="4" customFormat="false" ht="12.8" hidden="false" customHeight="false" outlineLevel="0" collapsed="false">
      <c r="D4" s="1"/>
    </row>
    <row r="5" customFormat="false" ht="12.8" hidden="false" customHeight="false" outlineLevel="0" collapsed="false">
      <c r="B5" s="6" t="n">
        <v>0.2</v>
      </c>
      <c r="C5" s="1" t="s">
        <v>81</v>
      </c>
      <c r="D5" s="1" t="s">
        <v>82</v>
      </c>
    </row>
    <row r="6" customFormat="false" ht="12.8" hidden="false" customHeight="false" outlineLevel="0" collapsed="false">
      <c r="B6" s="95"/>
      <c r="C6" s="1"/>
      <c r="D6" s="1"/>
    </row>
    <row r="7" customFormat="false" ht="12.8" hidden="false" customHeight="false" outlineLevel="0" collapsed="false">
      <c r="A7" s="95"/>
      <c r="B7" s="96" t="n">
        <v>7850</v>
      </c>
      <c r="C7" s="1" t="s">
        <v>83</v>
      </c>
      <c r="D7" s="1" t="s">
        <v>84</v>
      </c>
      <c r="E7" s="96" t="s">
        <v>85</v>
      </c>
      <c r="F7" s="3"/>
    </row>
    <row r="8" customFormat="false" ht="12.8" hidden="false" customHeight="false" outlineLevel="0" collapsed="false">
      <c r="B8" s="96" t="n">
        <v>8960</v>
      </c>
      <c r="C8" s="1" t="s">
        <v>83</v>
      </c>
      <c r="D8" s="1" t="s">
        <v>86</v>
      </c>
      <c r="E8" s="96" t="s">
        <v>87</v>
      </c>
      <c r="F8" s="3"/>
    </row>
    <row r="9" customFormat="false" ht="12.8" hidden="false" customHeight="false" outlineLevel="0" collapsed="false">
      <c r="B9" s="97" t="n">
        <v>0.75</v>
      </c>
      <c r="D9" s="3" t="s">
        <v>88</v>
      </c>
    </row>
    <row r="10" customFormat="false" ht="12.8" hidden="false" customHeight="false" outlineLevel="0" collapsed="false">
      <c r="B10" s="97" t="n">
        <v>0.8</v>
      </c>
      <c r="D10" s="1" t="s">
        <v>89</v>
      </c>
      <c r="F10" s="3"/>
    </row>
    <row r="11" customFormat="false" ht="12.8" hidden="false" customHeight="false" outlineLevel="0" collapsed="false">
      <c r="B11" s="98" t="n">
        <f aca="false">B10*B9</f>
        <v>0.6</v>
      </c>
      <c r="D11" s="1" t="s">
        <v>90</v>
      </c>
      <c r="F11" s="3"/>
    </row>
    <row r="12" customFormat="false" ht="12.8" hidden="false" customHeight="false" outlineLevel="0" collapsed="false">
      <c r="B12" s="96" t="n">
        <v>202</v>
      </c>
      <c r="C12" s="1" t="s">
        <v>91</v>
      </c>
      <c r="D12" s="1" t="s">
        <v>92</v>
      </c>
      <c r="F12" s="3"/>
    </row>
    <row r="13" customFormat="false" ht="12.8" hidden="false" customHeight="false" outlineLevel="0" collapsed="false">
      <c r="B13" s="25"/>
      <c r="C13" s="1"/>
      <c r="D13" s="1"/>
    </row>
    <row r="14" customFormat="false" ht="72.95" hidden="false" customHeight="true" outlineLevel="0" collapsed="false">
      <c r="B14" s="25" t="s">
        <v>23</v>
      </c>
      <c r="C14" s="99" t="s">
        <v>93</v>
      </c>
      <c r="D14" s="100" t="s">
        <v>94</v>
      </c>
    </row>
    <row r="15" customFormat="false" ht="12.8" hidden="false" customHeight="false" outlineLevel="0" collapsed="false">
      <c r="B15" s="101" t="s">
        <v>95</v>
      </c>
      <c r="C15" s="42" t="n">
        <v>2600</v>
      </c>
      <c r="D15" s="102" t="n">
        <v>7850</v>
      </c>
    </row>
    <row r="16" customFormat="false" ht="12.8" hidden="false" customHeight="false" outlineLevel="0" collapsed="false">
      <c r="B16" s="101" t="s">
        <v>96</v>
      </c>
      <c r="C16" s="42" t="n">
        <v>2200</v>
      </c>
      <c r="D16" s="102" t="n">
        <v>7850</v>
      </c>
    </row>
    <row r="17" customFormat="false" ht="12.8" hidden="false" customHeight="false" outlineLevel="0" collapsed="false">
      <c r="B17" s="101" t="n">
        <v>0</v>
      </c>
      <c r="C17" s="42" t="n">
        <v>1700</v>
      </c>
      <c r="D17" s="102" t="n">
        <v>7810</v>
      </c>
    </row>
    <row r="18" customFormat="false" ht="12.8" hidden="false" customHeight="false" outlineLevel="0" collapsed="false">
      <c r="B18" s="101" t="n">
        <v>1</v>
      </c>
      <c r="C18" s="42" t="n">
        <v>1200</v>
      </c>
      <c r="D18" s="102" t="n">
        <v>7850</v>
      </c>
    </row>
    <row r="19" customFormat="false" ht="12.8" hidden="false" customHeight="false" outlineLevel="0" collapsed="false">
      <c r="B19" s="25"/>
      <c r="C19" s="1"/>
      <c r="D19" s="1"/>
    </row>
    <row r="20" customFormat="false" ht="12.8" hidden="false" customHeight="false" outlineLevel="0" collapsed="false">
      <c r="B20" s="101"/>
      <c r="C20" s="42"/>
      <c r="D20" s="15"/>
    </row>
    <row r="21" customFormat="false" ht="12.8" hidden="false" customHeight="false" outlineLevel="0" collapsed="false">
      <c r="B21" s="101"/>
      <c r="C21" s="42"/>
      <c r="D21" s="15"/>
    </row>
    <row r="22" customFormat="false" ht="12.8" hidden="false" customHeight="false" outlineLevel="0" collapsed="false">
      <c r="B22" s="1" t="s">
        <v>97</v>
      </c>
      <c r="C22" s="1"/>
      <c r="D22" s="1"/>
    </row>
    <row r="23" customFormat="false" ht="12.8" hidden="false" customHeight="false" outlineLevel="0" collapsed="false">
      <c r="B23" s="1" t="s">
        <v>98</v>
      </c>
    </row>
    <row r="24" customFormat="false" ht="12.8" hidden="false" customHeight="false" outlineLevel="0" collapsed="false">
      <c r="B24" s="1" t="s">
        <v>99</v>
      </c>
    </row>
    <row r="25" customFormat="false" ht="12.8" hidden="false" customHeight="false" outlineLevel="0" collapsed="false">
      <c r="B25" s="1" t="s">
        <v>100</v>
      </c>
    </row>
    <row r="26" customFormat="false" ht="12.8" hidden="false" customHeight="false" outlineLevel="0" collapsed="false">
      <c r="B26" s="1" t="s">
        <v>101</v>
      </c>
    </row>
    <row r="27" customFormat="false" ht="12.8" hidden="false" customHeight="false" outlineLevel="0" collapsed="false">
      <c r="B27" s="1" t="s">
        <v>102</v>
      </c>
    </row>
    <row r="28" customFormat="false" ht="12.8" hidden="false" customHeight="false" outlineLevel="0" collapsed="false">
      <c r="B28" s="1" t="s">
        <v>103</v>
      </c>
    </row>
    <row r="30" customFormat="false" ht="12.8" hidden="false" customHeight="false" outlineLevel="0" collapsed="false">
      <c r="B30" s="1" t="s">
        <v>104</v>
      </c>
      <c r="C30" s="1" t="s">
        <v>105</v>
      </c>
      <c r="D30" s="1" t="s">
        <v>106</v>
      </c>
      <c r="E30" s="1" t="s">
        <v>107</v>
      </c>
      <c r="F30" s="1" t="s">
        <v>108</v>
      </c>
    </row>
    <row r="31" customFormat="false" ht="12.8" hidden="false" customHeight="false" outlineLevel="0" collapsed="false">
      <c r="B31" s="1" t="n">
        <v>-99</v>
      </c>
      <c r="C31" s="1" t="n">
        <v>-99</v>
      </c>
      <c r="D31" s="103" t="n">
        <v>0.5</v>
      </c>
      <c r="E31" s="103" t="n">
        <v>0.55</v>
      </c>
      <c r="F31" s="103" t="n">
        <v>0.65</v>
      </c>
      <c r="G31" s="1" t="s">
        <v>109</v>
      </c>
    </row>
    <row r="32" customFormat="false" ht="12.8" hidden="false" customHeight="false" outlineLevel="0" collapsed="false">
      <c r="B32" s="1" t="n">
        <v>49</v>
      </c>
      <c r="C32" s="1" t="n">
        <v>-99</v>
      </c>
      <c r="D32" s="103" t="n">
        <v>0.5</v>
      </c>
      <c r="E32" s="103" t="n">
        <v>0.55</v>
      </c>
      <c r="F32" s="103" t="n">
        <v>0.65</v>
      </c>
    </row>
    <row r="33" customFormat="false" ht="12.8" hidden="false" customHeight="false" outlineLevel="0" collapsed="false">
      <c r="B33" s="1" t="n">
        <v>61</v>
      </c>
      <c r="C33" s="1" t="n">
        <v>50</v>
      </c>
      <c r="D33" s="103" t="n">
        <v>0.5</v>
      </c>
      <c r="E33" s="103" t="n">
        <v>0.65</v>
      </c>
      <c r="F33" s="103" t="n">
        <v>0.75</v>
      </c>
    </row>
    <row r="34" customFormat="false" ht="12.8" hidden="false" customHeight="false" outlineLevel="0" collapsed="false">
      <c r="B34" s="1" t="n">
        <v>73</v>
      </c>
      <c r="C34" s="1" t="n">
        <v>62</v>
      </c>
      <c r="D34" s="103" t="n">
        <v>0.55</v>
      </c>
      <c r="E34" s="103" t="n">
        <v>0.7</v>
      </c>
      <c r="F34" s="103" t="n">
        <v>0.75</v>
      </c>
    </row>
    <row r="35" customFormat="false" ht="12.8" hidden="false" customHeight="false" outlineLevel="0" collapsed="false">
      <c r="B35" s="1" t="n">
        <v>85</v>
      </c>
      <c r="C35" s="1" t="n">
        <v>74</v>
      </c>
      <c r="D35" s="103" t="n">
        <v>0.6</v>
      </c>
      <c r="E35" s="103" t="n">
        <v>0.75</v>
      </c>
      <c r="F35" s="103" t="n">
        <v>0.8</v>
      </c>
    </row>
    <row r="36" customFormat="false" ht="12.8" hidden="false" customHeight="false" outlineLevel="0" collapsed="false">
      <c r="B36" s="1" t="n">
        <v>102</v>
      </c>
      <c r="C36" s="1" t="n">
        <v>85</v>
      </c>
      <c r="D36" s="103" t="n">
        <v>0.7</v>
      </c>
      <c r="E36" s="103" t="n">
        <v>0.8</v>
      </c>
      <c r="F36" s="103" t="n">
        <v>0.82</v>
      </c>
    </row>
    <row r="40" customFormat="false" ht="12.8" hidden="false" customHeight="false" outlineLevel="0" collapsed="false">
      <c r="B40" s="1" t="s">
        <v>110</v>
      </c>
      <c r="C40" s="1" t="s">
        <v>111</v>
      </c>
    </row>
    <row r="41" customFormat="false" ht="12.8" hidden="false" customHeight="false" outlineLevel="0" collapsed="false">
      <c r="B41" s="1" t="n">
        <v>1</v>
      </c>
      <c r="C41" s="1" t="s">
        <v>112</v>
      </c>
      <c r="D41" s="1" t="s">
        <v>113</v>
      </c>
    </row>
    <row r="42" customFormat="false" ht="12.8" hidden="false" customHeight="false" outlineLevel="0" collapsed="false">
      <c r="B42" s="1" t="n">
        <v>2</v>
      </c>
      <c r="C42" s="1" t="s">
        <v>114</v>
      </c>
      <c r="D42" s="1" t="s">
        <v>115</v>
      </c>
    </row>
    <row r="43" customFormat="false" ht="12.8" hidden="false" customHeight="false" outlineLevel="0" collapsed="false">
      <c r="B43" s="1" t="n">
        <v>3</v>
      </c>
      <c r="C43" s="1" t="s">
        <v>116</v>
      </c>
      <c r="D43" s="1" t="s">
        <v>117</v>
      </c>
    </row>
    <row r="44" customFormat="false" ht="12.8" hidden="false" customHeight="false" outlineLevel="0" collapsed="false">
      <c r="B44" s="1" t="n">
        <v>4</v>
      </c>
      <c r="C44" s="1" t="s">
        <v>118</v>
      </c>
      <c r="D44" s="1" t="s">
        <v>119</v>
      </c>
    </row>
    <row r="45" customFormat="false" ht="12.8" hidden="false" customHeight="false" outlineLevel="0" collapsed="false">
      <c r="B45" s="1" t="n">
        <v>5</v>
      </c>
      <c r="C45" s="1" t="s">
        <v>120</v>
      </c>
      <c r="D45" s="1" t="s">
        <v>121</v>
      </c>
    </row>
    <row r="46" customFormat="false" ht="12.8" hidden="false" customHeight="false" outlineLevel="0" collapsed="false">
      <c r="B46" s="1" t="n">
        <v>6</v>
      </c>
      <c r="C46" s="1" t="s">
        <v>122</v>
      </c>
      <c r="D46" s="1" t="s">
        <v>43</v>
      </c>
    </row>
    <row r="47" customFormat="false" ht="12.8" hidden="false" customHeight="false" outlineLevel="0" collapsed="false">
      <c r="B47" s="1" t="n">
        <v>7</v>
      </c>
      <c r="C47" s="1" t="s">
        <v>123</v>
      </c>
      <c r="D47" s="1" t="s">
        <v>124</v>
      </c>
    </row>
    <row r="48" customFormat="false" ht="12.8" hidden="false" customHeight="false" outlineLevel="0" collapsed="false">
      <c r="B48" s="1" t="n">
        <v>8</v>
      </c>
      <c r="C48" s="1" t="s">
        <v>125</v>
      </c>
      <c r="D48" s="1" t="s">
        <v>126</v>
      </c>
    </row>
    <row r="49" customFormat="false" ht="12.8" hidden="false" customHeight="false" outlineLevel="0" collapsed="false">
      <c r="B49" s="1" t="n">
        <v>9</v>
      </c>
      <c r="C49" s="1" t="s">
        <v>127</v>
      </c>
      <c r="D49" s="1" t="s">
        <v>128</v>
      </c>
    </row>
    <row r="50" customFormat="false" ht="12.8" hidden="false" customHeight="false" outlineLevel="0" collapsed="false">
      <c r="B50" s="1" t="n">
        <v>10</v>
      </c>
      <c r="C50" s="1" t="s">
        <v>129</v>
      </c>
      <c r="D50" s="1" t="s">
        <v>130</v>
      </c>
    </row>
    <row r="51" customFormat="false" ht="12.8" hidden="false" customHeight="false" outlineLevel="0" collapsed="false">
      <c r="B51" s="1" t="n">
        <v>11</v>
      </c>
      <c r="C51" s="1" t="s">
        <v>131</v>
      </c>
      <c r="D51" s="1" t="s">
        <v>132</v>
      </c>
    </row>
    <row r="52" customFormat="false" ht="12.8" hidden="false" customHeight="false" outlineLevel="0" collapsed="false">
      <c r="B52" s="1" t="n">
        <v>12</v>
      </c>
      <c r="C52" s="1" t="s">
        <v>133</v>
      </c>
      <c r="D52" s="1" t="s">
        <v>134</v>
      </c>
    </row>
    <row r="54" customFormat="false" ht="12.8" hidden="false" customHeight="false" outlineLevel="0" collapsed="false">
      <c r="B54" s="1" t="n">
        <v>16</v>
      </c>
      <c r="C54" s="1" t="s">
        <v>135</v>
      </c>
    </row>
    <row r="55" customFormat="false" ht="12.8" hidden="false" customHeight="false" outlineLevel="0" collapsed="false">
      <c r="B55" s="1" t="n">
        <v>16</v>
      </c>
      <c r="C55" s="1" t="s">
        <v>136</v>
      </c>
    </row>
    <row r="56" customFormat="false" ht="12.8" hidden="false" customHeight="false" outlineLevel="0" collapsed="false">
      <c r="B56" s="1" t="n">
        <v>4</v>
      </c>
      <c r="C56" s="1" t="s">
        <v>137</v>
      </c>
    </row>
  </sheetData>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horizontalDpi="300" verticalDpi="300" copies="1"/>
  <headerFooter differentFirst="false" differentOddEven="false">
    <oddHeader>&amp;CPlan de cordes filées et sollicitations d'un piano</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C473"/>
  <sheetViews>
    <sheetView showFormulas="false" showGridLines="true" showRowColHeaders="true" showZeros="true" rightToLeft="false" tabSelected="false" showOutlineSymbols="true" defaultGridColor="true" view="normal" topLeftCell="A14" colorId="64" zoomScale="90" zoomScaleNormal="90" zoomScalePageLayoutView="100" workbookViewId="0">
      <selection pane="topLeft" activeCell="D17" activeCellId="0" sqref="D17"/>
    </sheetView>
  </sheetViews>
  <sheetFormatPr defaultColWidth="11.53515625" defaultRowHeight="12.8" customHeight="true" zeroHeight="false" outlineLevelRow="0" outlineLevelCol="0"/>
  <cols>
    <col collapsed="false" customWidth="true" hidden="false" outlineLevel="0" max="1" min="1" style="1" width="2.47"/>
    <col collapsed="false" customWidth="true" hidden="false" outlineLevel="0" max="2" min="2" style="1" width="13.53"/>
    <col collapsed="false" customWidth="true" hidden="false" outlineLevel="0" max="3" min="3" style="1" width="6.43"/>
    <col collapsed="false" customWidth="true" hidden="false" outlineLevel="0" max="8" min="4" style="1" width="6.18"/>
    <col collapsed="false" customWidth="true" hidden="false" outlineLevel="0" max="9" min="9" style="1" width="6.96"/>
    <col collapsed="false" customWidth="true" hidden="false" outlineLevel="0" max="10" min="10" style="1" width="5.97"/>
  </cols>
  <sheetData>
    <row r="1" customFormat="false" ht="12.8" hidden="false" customHeight="false" outlineLevel="0" collapsed="false">
      <c r="D1" s="1" t="s">
        <v>138</v>
      </c>
      <c r="E1" s="104" t="str">
        <f aca="false">$D$1</f>
        <v>Stephen Paulello France</v>
      </c>
      <c r="F1" s="104" t="str">
        <f aca="false">$D$1</f>
        <v>Stephen Paulello France</v>
      </c>
      <c r="G1" s="104" t="str">
        <f aca="false">$D$1</f>
        <v>Stephen Paulello France</v>
      </c>
      <c r="H1" s="104" t="str">
        <f aca="false">$D$1</f>
        <v>Stephen Paulello France</v>
      </c>
      <c r="K1" s="1" t="s">
        <v>139</v>
      </c>
      <c r="L1" s="104" t="str">
        <f aca="false">$K$1</f>
        <v>Röslau GmbH</v>
      </c>
      <c r="M1" s="104" t="str">
        <f aca="false">$K$1</f>
        <v>Röslau GmbH</v>
      </c>
      <c r="N1" s="104" t="str">
        <f aca="false">$K$1</f>
        <v>Röslau GmbH</v>
      </c>
    </row>
    <row r="2" customFormat="false" ht="12.8" hidden="false" customHeight="false" outlineLevel="0" collapsed="false">
      <c r="B2" s="1" t="s">
        <v>77</v>
      </c>
      <c r="D2" s="1" t="s">
        <v>78</v>
      </c>
      <c r="K2" s="1" t="s">
        <v>140</v>
      </c>
    </row>
    <row r="4" customFormat="false" ht="12.8" hidden="false" customHeight="false" outlineLevel="0" collapsed="false">
      <c r="D4" s="1" t="s">
        <v>141</v>
      </c>
      <c r="E4" s="1" t="s">
        <v>142</v>
      </c>
    </row>
    <row r="5" customFormat="false" ht="12.8" hidden="false" customHeight="false" outlineLevel="0" collapsed="false">
      <c r="D5" s="1" t="s">
        <v>73</v>
      </c>
      <c r="E5" s="1" t="s">
        <v>143</v>
      </c>
    </row>
    <row r="6" customFormat="false" ht="12.8" hidden="false" customHeight="false" outlineLevel="0" collapsed="false">
      <c r="D6" s="1" t="s">
        <v>75</v>
      </c>
      <c r="E6" s="1" t="s">
        <v>144</v>
      </c>
    </row>
    <row r="7" customFormat="false" ht="12.8" hidden="false" customHeight="false" outlineLevel="0" collapsed="false">
      <c r="D7" s="1" t="s">
        <v>74</v>
      </c>
      <c r="E7" s="1" t="s">
        <v>145</v>
      </c>
    </row>
    <row r="8" customFormat="false" ht="12.8" hidden="false" customHeight="false" outlineLevel="0" collapsed="false">
      <c r="D8" s="1" t="s">
        <v>146</v>
      </c>
      <c r="E8" s="1" t="s">
        <v>147</v>
      </c>
    </row>
    <row r="9" customFormat="false" ht="12.8" hidden="false" customHeight="false" outlineLevel="0" collapsed="false">
      <c r="D9" s="1" t="s">
        <v>148</v>
      </c>
      <c r="E9" s="1" t="s">
        <v>149</v>
      </c>
    </row>
    <row r="10" customFormat="false" ht="12.8" hidden="false" customHeight="false" outlineLevel="0" collapsed="false">
      <c r="D10" s="1" t="s">
        <v>150</v>
      </c>
      <c r="E10" s="1" t="s">
        <v>151</v>
      </c>
    </row>
    <row r="13" customFormat="false" ht="12.8" hidden="false" customHeight="false" outlineLevel="0" collapsed="false">
      <c r="C13" s="91" t="s">
        <v>152</v>
      </c>
      <c r="D13" s="91" t="s">
        <v>152</v>
      </c>
      <c r="I13" s="105"/>
    </row>
    <row r="14" customFormat="false" ht="68.65" hidden="false" customHeight="false" outlineLevel="0" collapsed="false">
      <c r="C14" s="1" t="s">
        <v>153</v>
      </c>
      <c r="K14" s="67" t="s">
        <v>154</v>
      </c>
      <c r="L14" s="67" t="s">
        <v>155</v>
      </c>
      <c r="M14" s="67" t="s">
        <v>156</v>
      </c>
      <c r="N14" s="67" t="s">
        <v>157</v>
      </c>
    </row>
    <row r="15" customFormat="false" ht="12.8" hidden="false" customHeight="false" outlineLevel="0" collapsed="false">
      <c r="H15" s="105" t="n">
        <v>0.1335</v>
      </c>
      <c r="I15" s="106" t="s">
        <v>158</v>
      </c>
    </row>
    <row r="16" customFormat="false" ht="12.8" hidden="false" customHeight="false" outlineLevel="0" collapsed="false">
      <c r="B16" s="1" t="s">
        <v>159</v>
      </c>
      <c r="C16" s="1" t="s">
        <v>160</v>
      </c>
      <c r="D16" s="106" t="s">
        <v>141</v>
      </c>
      <c r="E16" s="106" t="s">
        <v>73</v>
      </c>
      <c r="F16" s="106" t="s">
        <v>75</v>
      </c>
      <c r="G16" s="106" t="s">
        <v>74</v>
      </c>
      <c r="H16" s="106" t="s">
        <v>146</v>
      </c>
      <c r="M16" s="106" t="s">
        <v>148</v>
      </c>
      <c r="N16" s="106" t="s">
        <v>150</v>
      </c>
    </row>
    <row r="17" customFormat="false" ht="12.8" hidden="false" customHeight="false" outlineLevel="0" collapsed="false">
      <c r="D17" s="107" t="n">
        <v>2</v>
      </c>
      <c r="E17" s="104" t="n">
        <f aca="false">D17+1</f>
        <v>3</v>
      </c>
      <c r="F17" s="104" t="n">
        <f aca="false">E17+1</f>
        <v>4</v>
      </c>
      <c r="G17" s="104" t="n">
        <f aca="false">F17+1</f>
        <v>5</v>
      </c>
      <c r="H17" s="104" t="n">
        <f aca="false">G17+1</f>
        <v>6</v>
      </c>
      <c r="I17" s="104" t="n">
        <f aca="false">H17+1</f>
        <v>7</v>
      </c>
      <c r="J17" s="104" t="n">
        <f aca="false">I17+1</f>
        <v>8</v>
      </c>
      <c r="K17" s="104" t="n">
        <f aca="false">J17+1</f>
        <v>9</v>
      </c>
      <c r="L17" s="104" t="n">
        <f aca="false">K17+1</f>
        <v>10</v>
      </c>
      <c r="M17" s="104" t="n">
        <f aca="false">L17+1</f>
        <v>11</v>
      </c>
      <c r="N17" s="104" t="n">
        <f aca="false">M17+1</f>
        <v>12</v>
      </c>
      <c r="O17" s="104" t="n">
        <f aca="false">N17+1</f>
        <v>13</v>
      </c>
      <c r="P17" s="104" t="n">
        <f aca="false">O17+1</f>
        <v>14</v>
      </c>
      <c r="Q17" s="104" t="n">
        <f aca="false">P17+1</f>
        <v>15</v>
      </c>
      <c r="R17" s="104" t="n">
        <f aca="false">Q17+1</f>
        <v>16</v>
      </c>
      <c r="S17" s="104" t="n">
        <f aca="false">R17+1</f>
        <v>17</v>
      </c>
      <c r="T17" s="104" t="n">
        <f aca="false">S17+1</f>
        <v>18</v>
      </c>
      <c r="U17" s="104" t="n">
        <f aca="false">T17+1</f>
        <v>19</v>
      </c>
      <c r="V17" s="104" t="n">
        <f aca="false">U17+1</f>
        <v>20</v>
      </c>
      <c r="W17" s="104" t="n">
        <f aca="false">V17+1</f>
        <v>21</v>
      </c>
      <c r="X17" s="104" t="n">
        <f aca="false">W17+1</f>
        <v>22</v>
      </c>
      <c r="Y17" s="104" t="n">
        <f aca="false">X17+1</f>
        <v>23</v>
      </c>
      <c r="Z17" s="104" t="n">
        <f aca="false">Y17+1</f>
        <v>24</v>
      </c>
      <c r="AA17" s="104" t="n">
        <f aca="false">Z17+1</f>
        <v>25</v>
      </c>
      <c r="AB17" s="104" t="n">
        <f aca="false">AA17+1</f>
        <v>26</v>
      </c>
      <c r="AC17" s="91" t="s">
        <v>152</v>
      </c>
    </row>
    <row r="18" customFormat="false" ht="12.8" hidden="false" customHeight="false" outlineLevel="0" collapsed="false">
      <c r="B18" s="1" t="n">
        <v>9</v>
      </c>
      <c r="C18" s="90" t="n">
        <v>0.575</v>
      </c>
      <c r="G18" s="1" t="n">
        <v>499</v>
      </c>
      <c r="H18" s="108" t="n">
        <f aca="false">I18*(1+$H$15)</f>
        <v>409.1935</v>
      </c>
      <c r="I18" s="1" t="n">
        <v>361</v>
      </c>
      <c r="AC18" s="91" t="s">
        <v>152</v>
      </c>
    </row>
    <row r="19" customFormat="false" ht="12.8" hidden="false" customHeight="false" outlineLevel="0" collapsed="false">
      <c r="B19" s="1" t="n">
        <v>9.5</v>
      </c>
      <c r="C19" s="90" t="n">
        <v>0.6</v>
      </c>
      <c r="G19" s="1" t="n">
        <v>537</v>
      </c>
      <c r="H19" s="108" t="n">
        <f aca="false">I19*(1+$H$15)</f>
        <v>440.9315</v>
      </c>
      <c r="I19" s="1" t="n">
        <v>389</v>
      </c>
      <c r="AC19" s="91" t="s">
        <v>152</v>
      </c>
    </row>
    <row r="20" customFormat="false" ht="12.8" hidden="false" customHeight="false" outlineLevel="0" collapsed="false">
      <c r="B20" s="1" t="n">
        <v>10</v>
      </c>
      <c r="C20" s="90" t="n">
        <v>0.625</v>
      </c>
      <c r="G20" s="1" t="n">
        <v>577</v>
      </c>
      <c r="H20" s="108" t="n">
        <f aca="false">I20*(1+$H$15)</f>
        <v>474.9365</v>
      </c>
      <c r="I20" s="1" t="n">
        <v>419</v>
      </c>
      <c r="AC20" s="91" t="s">
        <v>152</v>
      </c>
    </row>
    <row r="21" customFormat="false" ht="12.8" hidden="false" customHeight="false" outlineLevel="0" collapsed="false">
      <c r="B21" s="1" t="n">
        <v>10.5</v>
      </c>
      <c r="C21" s="90" t="n">
        <v>0.65</v>
      </c>
      <c r="G21" s="1" t="n">
        <v>617</v>
      </c>
      <c r="H21" s="108" t="n">
        <f aca="false">I21*(1+$H$15)</f>
        <v>507.808</v>
      </c>
      <c r="I21" s="1" t="n">
        <v>448</v>
      </c>
      <c r="AC21" s="91" t="s">
        <v>152</v>
      </c>
    </row>
    <row r="22" customFormat="false" ht="12.8" hidden="false" customHeight="false" outlineLevel="0" collapsed="false">
      <c r="B22" s="1" t="n">
        <v>11</v>
      </c>
      <c r="C22" s="90" t="n">
        <v>0.675</v>
      </c>
      <c r="G22" s="1" t="n">
        <v>658</v>
      </c>
      <c r="H22" s="108" t="n">
        <f aca="false">I22*(1+$H$15)</f>
        <v>542.9465</v>
      </c>
      <c r="I22" s="1" t="n">
        <v>479</v>
      </c>
      <c r="AC22" s="91" t="s">
        <v>152</v>
      </c>
    </row>
    <row r="23" customFormat="false" ht="12.8" hidden="false" customHeight="false" outlineLevel="0" collapsed="false">
      <c r="B23" s="1" t="n">
        <v>11.5</v>
      </c>
      <c r="C23" s="90" t="n">
        <v>0.7</v>
      </c>
      <c r="G23" s="1" t="n">
        <v>700</v>
      </c>
      <c r="H23" s="108" t="n">
        <f aca="false">I23*(1+$H$15)</f>
        <v>576.9515</v>
      </c>
      <c r="I23" s="1" t="n">
        <v>509</v>
      </c>
      <c r="K23" s="1" t="n">
        <v>0.7</v>
      </c>
      <c r="L23" s="1" t="n">
        <v>2480</v>
      </c>
      <c r="M23" s="1" t="n">
        <v>954</v>
      </c>
      <c r="N23" s="1" t="n">
        <v>1021</v>
      </c>
      <c r="AC23" s="91" t="s">
        <v>152</v>
      </c>
    </row>
    <row r="24" customFormat="false" ht="12.8" hidden="false" customHeight="false" outlineLevel="0" collapsed="false">
      <c r="B24" s="1" t="n">
        <v>12</v>
      </c>
      <c r="C24" s="90" t="n">
        <v>0.725</v>
      </c>
      <c r="E24" s="1" t="n">
        <v>1016</v>
      </c>
      <c r="F24" s="1" t="n">
        <v>900</v>
      </c>
      <c r="G24" s="1" t="n">
        <v>743</v>
      </c>
      <c r="H24" s="108" t="n">
        <f aca="false">I24*(1+$H$15)</f>
        <v>613.2235</v>
      </c>
      <c r="I24" s="1" t="n">
        <v>541</v>
      </c>
      <c r="K24" s="1" t="n">
        <v>0.725</v>
      </c>
      <c r="L24" s="1" t="n">
        <v>2470</v>
      </c>
      <c r="M24" s="1" t="n">
        <v>1020</v>
      </c>
      <c r="N24" s="1" t="n">
        <v>1091</v>
      </c>
      <c r="AC24" s="91" t="s">
        <v>152</v>
      </c>
    </row>
    <row r="25" customFormat="false" ht="12.8" hidden="false" customHeight="false" outlineLevel="0" collapsed="false">
      <c r="B25" s="1" t="n">
        <v>12.5</v>
      </c>
      <c r="C25" s="90" t="n">
        <v>0.75</v>
      </c>
      <c r="E25" s="1" t="n">
        <v>1081</v>
      </c>
      <c r="F25" s="1" t="n">
        <v>956</v>
      </c>
      <c r="G25" s="1" t="n">
        <v>786</v>
      </c>
      <c r="H25" s="108" t="n">
        <f aca="false">I25*(1+$H$15)</f>
        <v>650.629</v>
      </c>
      <c r="I25" s="1" t="n">
        <v>574</v>
      </c>
      <c r="K25" s="1" t="n">
        <v>0.75</v>
      </c>
      <c r="L25" s="1" t="n">
        <v>2440</v>
      </c>
      <c r="M25" s="1" t="n">
        <v>1078</v>
      </c>
      <c r="N25" s="1" t="n">
        <v>1153</v>
      </c>
      <c r="AC25" s="91" t="s">
        <v>152</v>
      </c>
    </row>
    <row r="26" customFormat="false" ht="12.8" hidden="false" customHeight="false" outlineLevel="0" collapsed="false">
      <c r="B26" s="1" t="n">
        <v>13</v>
      </c>
      <c r="C26" s="90" t="n">
        <v>0.775</v>
      </c>
      <c r="D26" s="1" t="n">
        <v>1398</v>
      </c>
      <c r="E26" s="1" t="n">
        <v>1150</v>
      </c>
      <c r="F26" s="1" t="n">
        <v>1013</v>
      </c>
      <c r="G26" s="1" t="n">
        <v>830</v>
      </c>
      <c r="H26" s="108" t="n">
        <f aca="false">I26*(1+$H$15)</f>
        <v>688.0345</v>
      </c>
      <c r="I26" s="1" t="n">
        <v>607</v>
      </c>
      <c r="K26" s="1" t="n">
        <v>0.775</v>
      </c>
      <c r="L26" s="1" t="n">
        <v>2420</v>
      </c>
      <c r="M26" s="1" t="n">
        <v>1142</v>
      </c>
      <c r="N26" s="1" t="n">
        <v>1222</v>
      </c>
      <c r="AC26" s="91" t="s">
        <v>152</v>
      </c>
    </row>
    <row r="27" customFormat="false" ht="12.8" hidden="false" customHeight="false" outlineLevel="0" collapsed="false">
      <c r="B27" s="1" t="n">
        <v>13.5</v>
      </c>
      <c r="C27" s="90" t="n">
        <v>0.8</v>
      </c>
      <c r="D27" s="1" t="n">
        <v>1450</v>
      </c>
      <c r="E27" s="1" t="n">
        <v>1220</v>
      </c>
      <c r="F27" s="1" t="n">
        <v>1071</v>
      </c>
      <c r="G27" s="1" t="n">
        <v>875</v>
      </c>
      <c r="H27" s="108" t="n">
        <f aca="false">I27*(1+$H$15)</f>
        <v>725.44</v>
      </c>
      <c r="I27" s="1" t="n">
        <v>640</v>
      </c>
      <c r="K27" s="1" t="n">
        <v>0.8</v>
      </c>
      <c r="L27" s="1" t="n">
        <v>2420</v>
      </c>
      <c r="M27" s="1" t="n">
        <v>1216</v>
      </c>
      <c r="N27" s="1" t="n">
        <v>1301</v>
      </c>
      <c r="AC27" s="91" t="s">
        <v>152</v>
      </c>
    </row>
    <row r="28" customFormat="false" ht="12.8" hidden="false" customHeight="false" outlineLevel="0" collapsed="false">
      <c r="B28" s="1" t="n">
        <v>14</v>
      </c>
      <c r="C28" s="90" t="n">
        <v>0.825</v>
      </c>
      <c r="D28" s="1" t="n">
        <v>1539</v>
      </c>
      <c r="E28" s="1" t="n">
        <v>1292</v>
      </c>
      <c r="F28" s="1" t="n">
        <v>1131</v>
      </c>
      <c r="G28" s="1" t="n">
        <v>919</v>
      </c>
      <c r="H28" s="108" t="n">
        <f aca="false">I28*(1+$H$15)</f>
        <v>763.979</v>
      </c>
      <c r="I28" s="1" t="n">
        <v>674</v>
      </c>
      <c r="K28" s="1" t="n">
        <v>0.825</v>
      </c>
      <c r="L28" s="1" t="n">
        <v>2400</v>
      </c>
      <c r="M28" s="1" t="n">
        <v>1283</v>
      </c>
      <c r="N28" s="1" t="n">
        <v>1373</v>
      </c>
      <c r="AC28" s="91" t="s">
        <v>152</v>
      </c>
    </row>
    <row r="29" customFormat="false" ht="12.8" hidden="false" customHeight="false" outlineLevel="0" collapsed="false">
      <c r="B29" s="1" t="n">
        <v>14.5</v>
      </c>
      <c r="C29" s="90" t="n">
        <v>0.85</v>
      </c>
      <c r="D29" s="1" t="n">
        <v>1597</v>
      </c>
      <c r="E29" s="1" t="n">
        <v>1361</v>
      </c>
      <c r="F29" s="1" t="n">
        <v>1191</v>
      </c>
      <c r="G29" s="1" t="n">
        <v>965</v>
      </c>
      <c r="H29" s="108" t="n">
        <f aca="false">I29*(1+$H$15)</f>
        <v>801.3845</v>
      </c>
      <c r="I29" s="1" t="n">
        <v>707</v>
      </c>
      <c r="K29" s="1" t="n">
        <v>0.85</v>
      </c>
      <c r="L29" s="1" t="n">
        <v>2380</v>
      </c>
      <c r="M29" s="1" t="n">
        <v>1351</v>
      </c>
      <c r="N29" s="1" t="n">
        <v>1446</v>
      </c>
      <c r="AC29" s="91" t="s">
        <v>152</v>
      </c>
    </row>
    <row r="30" customFormat="false" ht="12.8" hidden="false" customHeight="false" outlineLevel="0" collapsed="false">
      <c r="B30" s="1" t="n">
        <v>15</v>
      </c>
      <c r="C30" s="90" t="n">
        <v>0.875</v>
      </c>
      <c r="D30" s="1" t="n">
        <v>1806</v>
      </c>
      <c r="E30" s="1" t="n">
        <v>1436</v>
      </c>
      <c r="F30" s="1" t="n">
        <v>1253</v>
      </c>
      <c r="G30" s="1" t="n">
        <v>1010</v>
      </c>
      <c r="H30" s="108" t="n">
        <f aca="false">I30*(1+$H$15)</f>
        <v>841.057</v>
      </c>
      <c r="I30" s="1" t="n">
        <v>742</v>
      </c>
      <c r="K30" s="1" t="n">
        <v>0.875</v>
      </c>
      <c r="L30" s="1" t="n">
        <v>2360</v>
      </c>
      <c r="M30" s="1" t="n">
        <v>1418</v>
      </c>
      <c r="N30" s="1" t="n">
        <v>1517</v>
      </c>
      <c r="AC30" s="91" t="s">
        <v>152</v>
      </c>
    </row>
    <row r="31" customFormat="false" ht="12.8" hidden="false" customHeight="false" outlineLevel="0" collapsed="false">
      <c r="B31" s="1" t="n">
        <v>15.5</v>
      </c>
      <c r="C31" s="90" t="n">
        <v>0.9</v>
      </c>
      <c r="D31" s="1" t="n">
        <v>1846</v>
      </c>
      <c r="E31" s="1" t="n">
        <v>1513</v>
      </c>
      <c r="F31" s="1" t="n">
        <v>1315</v>
      </c>
      <c r="G31" s="1" t="n">
        <v>1056</v>
      </c>
      <c r="H31" s="108" t="n">
        <f aca="false">I31*(1+$H$15)</f>
        <v>879.596</v>
      </c>
      <c r="I31" s="1" t="n">
        <v>776</v>
      </c>
      <c r="K31" s="1" t="n">
        <v>0.9</v>
      </c>
      <c r="L31" s="1" t="n">
        <v>2350</v>
      </c>
      <c r="M31" s="1" t="n">
        <v>1494</v>
      </c>
      <c r="N31" s="1" t="n">
        <v>1599</v>
      </c>
      <c r="AC31" s="91" t="s">
        <v>152</v>
      </c>
    </row>
    <row r="32" customFormat="false" ht="12.8" hidden="false" customHeight="false" outlineLevel="0" collapsed="false">
      <c r="B32" s="1" t="n">
        <v>16</v>
      </c>
      <c r="C32" s="90" t="n">
        <v>0.925</v>
      </c>
      <c r="D32" s="1" t="n">
        <v>1895</v>
      </c>
      <c r="E32" s="1" t="n">
        <v>1592</v>
      </c>
      <c r="F32" s="1" t="n">
        <v>1378</v>
      </c>
      <c r="G32" s="1" t="n">
        <v>1102</v>
      </c>
      <c r="H32" s="108" t="n">
        <f aca="false">I32*(1+$H$15)</f>
        <v>920.402</v>
      </c>
      <c r="I32" s="1" t="n">
        <v>812</v>
      </c>
      <c r="K32" s="1" t="n">
        <v>0.925</v>
      </c>
      <c r="L32" s="1" t="n">
        <v>2340</v>
      </c>
      <c r="M32" s="1" t="n">
        <v>1572</v>
      </c>
      <c r="N32" s="1" t="n">
        <v>1682</v>
      </c>
      <c r="AC32" s="91" t="s">
        <v>152</v>
      </c>
    </row>
    <row r="33" customFormat="false" ht="12.8" hidden="false" customHeight="false" outlineLevel="0" collapsed="false">
      <c r="B33" s="1" t="n">
        <v>16.5</v>
      </c>
      <c r="C33" s="90" t="n">
        <v>0.95</v>
      </c>
      <c r="D33" s="1" t="n">
        <v>2019</v>
      </c>
      <c r="E33" s="1" t="n">
        <v>1676</v>
      </c>
      <c r="F33" s="1" t="n">
        <v>1442</v>
      </c>
      <c r="G33" s="1" t="n">
        <v>1148</v>
      </c>
      <c r="H33" s="108" t="n">
        <f aca="false">I33*(1+$H$15)</f>
        <v>960.0745</v>
      </c>
      <c r="I33" s="1" t="n">
        <v>847</v>
      </c>
      <c r="K33" s="1" t="n">
        <v>0.95</v>
      </c>
      <c r="L33" s="1" t="n">
        <v>2320</v>
      </c>
      <c r="M33" s="1" t="n">
        <v>1644</v>
      </c>
      <c r="N33" s="1" t="n">
        <v>1759</v>
      </c>
      <c r="AC33" s="91" t="s">
        <v>152</v>
      </c>
    </row>
    <row r="34" customFormat="false" ht="12.8" hidden="false" customHeight="false" outlineLevel="0" collapsed="false">
      <c r="B34" s="1" t="n">
        <v>17</v>
      </c>
      <c r="C34" s="90" t="n">
        <v>0.975</v>
      </c>
      <c r="D34" s="1" t="n">
        <v>2141</v>
      </c>
      <c r="E34" s="1" t="n">
        <v>1754</v>
      </c>
      <c r="F34" s="1" t="n">
        <v>1507</v>
      </c>
      <c r="G34" s="1" t="n">
        <v>1195</v>
      </c>
      <c r="H34" s="108" t="n">
        <f aca="false">I34*(1+$H$15)</f>
        <v>999.747</v>
      </c>
      <c r="I34" s="1" t="n">
        <v>882</v>
      </c>
      <c r="K34" s="1" t="n">
        <v>0.975</v>
      </c>
      <c r="L34" s="1" t="n">
        <v>2310</v>
      </c>
      <c r="M34" s="1" t="n">
        <v>1724</v>
      </c>
      <c r="N34" s="1" t="n">
        <v>1845</v>
      </c>
      <c r="AC34" s="91" t="s">
        <v>152</v>
      </c>
    </row>
    <row r="35" customFormat="false" ht="12.8" hidden="false" customHeight="false" outlineLevel="0" collapsed="false">
      <c r="B35" s="1" t="n">
        <v>17.5</v>
      </c>
      <c r="C35" s="90" t="n">
        <v>1</v>
      </c>
      <c r="D35" s="1" t="n">
        <v>2227</v>
      </c>
      <c r="E35" s="1" t="n">
        <v>1837</v>
      </c>
      <c r="F35" s="1" t="n">
        <v>1573</v>
      </c>
      <c r="G35" s="1" t="n">
        <v>1241</v>
      </c>
      <c r="H35" s="108" t="n">
        <f aca="false">I35*(1+$H$15)</f>
        <v>1040.553</v>
      </c>
      <c r="I35" s="1" t="n">
        <v>918</v>
      </c>
      <c r="K35" s="1" t="n">
        <v>1</v>
      </c>
      <c r="L35" s="1" t="n">
        <v>2290</v>
      </c>
      <c r="M35" s="1" t="n">
        <v>1798</v>
      </c>
      <c r="N35" s="1" t="n">
        <v>1924</v>
      </c>
      <c r="AC35" s="91" t="s">
        <v>152</v>
      </c>
    </row>
    <row r="36" customFormat="false" ht="12.8" hidden="false" customHeight="false" outlineLevel="0" collapsed="false">
      <c r="B36" s="1" t="n">
        <v>18</v>
      </c>
      <c r="C36" s="90" t="n">
        <v>1.025</v>
      </c>
      <c r="D36" s="1" t="n">
        <v>2289</v>
      </c>
      <c r="E36" s="1" t="n">
        <v>1922</v>
      </c>
      <c r="F36" s="1" t="n">
        <v>1640</v>
      </c>
      <c r="G36" s="1" t="n">
        <v>1287</v>
      </c>
      <c r="H36" s="108" t="n">
        <f aca="false">I36*(1+$H$15)</f>
        <v>1081.359</v>
      </c>
      <c r="I36" s="1" t="n">
        <v>954</v>
      </c>
      <c r="K36" s="1" t="n">
        <v>1.025</v>
      </c>
      <c r="L36" s="1" t="n">
        <v>2280</v>
      </c>
      <c r="M36" s="1" t="n">
        <v>1880</v>
      </c>
      <c r="N36" s="1" t="n">
        <v>2012</v>
      </c>
      <c r="AC36" s="91" t="s">
        <v>152</v>
      </c>
    </row>
    <row r="37" customFormat="false" ht="12.8" hidden="false" customHeight="false" outlineLevel="0" collapsed="false">
      <c r="B37" s="1" t="n">
        <v>18.5</v>
      </c>
      <c r="C37" s="90" t="n">
        <v>1.05</v>
      </c>
      <c r="D37" s="1" t="n">
        <v>2362</v>
      </c>
      <c r="E37" s="1" t="n">
        <v>2009</v>
      </c>
      <c r="F37" s="1" t="n">
        <v>1707</v>
      </c>
      <c r="G37" s="1" t="n">
        <v>1333</v>
      </c>
      <c r="H37" s="108" t="n">
        <f aca="false">I37*(1+$H$15)</f>
        <v>1121.0315</v>
      </c>
      <c r="I37" s="1" t="n">
        <v>989</v>
      </c>
      <c r="K37" s="1" t="n">
        <v>1.05</v>
      </c>
      <c r="L37" s="1" t="n">
        <v>2260</v>
      </c>
      <c r="M37" s="1" t="n">
        <v>1956</v>
      </c>
      <c r="N37" s="1" t="n">
        <v>2093</v>
      </c>
      <c r="AC37" s="91" t="s">
        <v>152</v>
      </c>
    </row>
    <row r="38" customFormat="false" ht="12.8" hidden="false" customHeight="false" outlineLevel="0" collapsed="false">
      <c r="B38" s="1" t="n">
        <v>19</v>
      </c>
      <c r="C38" s="90" t="n">
        <v>1.075</v>
      </c>
      <c r="D38" s="1" t="n">
        <v>2456</v>
      </c>
      <c r="E38" s="1" t="n">
        <v>2097</v>
      </c>
      <c r="F38" s="1" t="n">
        <v>1774</v>
      </c>
      <c r="G38" s="1" t="n">
        <v>1380</v>
      </c>
      <c r="H38" s="108" t="n">
        <f aca="false">I38*(1+$H$15)</f>
        <v>1162.971</v>
      </c>
      <c r="I38" s="1" t="n">
        <v>1026</v>
      </c>
      <c r="K38" s="1" t="n">
        <v>1.075</v>
      </c>
      <c r="L38" s="1" t="n">
        <v>2240</v>
      </c>
      <c r="M38" s="1" t="n">
        <v>2032</v>
      </c>
      <c r="N38" s="1" t="n">
        <v>2174</v>
      </c>
      <c r="AC38" s="91" t="s">
        <v>152</v>
      </c>
    </row>
    <row r="39" customFormat="false" ht="12.8" hidden="false" customHeight="false" outlineLevel="0" collapsed="false">
      <c r="B39" s="1" t="n">
        <v>19.5</v>
      </c>
      <c r="C39" s="90" t="n">
        <v>1.1</v>
      </c>
      <c r="D39" s="1" t="n">
        <v>2583</v>
      </c>
      <c r="E39" s="1" t="n">
        <v>2196</v>
      </c>
      <c r="F39" s="1" t="n">
        <v>1843</v>
      </c>
      <c r="G39" s="1" t="n">
        <v>1425</v>
      </c>
      <c r="H39" s="108" t="n">
        <f aca="false">I39*(1+$H$15)</f>
        <v>1202.6435</v>
      </c>
      <c r="I39" s="1" t="n">
        <v>1061</v>
      </c>
      <c r="K39" s="1" t="n">
        <v>1.1</v>
      </c>
      <c r="L39" s="1" t="n">
        <v>2220</v>
      </c>
      <c r="M39" s="1" t="n">
        <v>2109</v>
      </c>
      <c r="N39" s="1" t="n">
        <v>2257</v>
      </c>
      <c r="AC39" s="91" t="s">
        <v>152</v>
      </c>
    </row>
    <row r="40" customFormat="false" ht="12.8" hidden="false" customHeight="false" outlineLevel="0" collapsed="false">
      <c r="B40" s="1" t="n">
        <v>20</v>
      </c>
      <c r="C40" s="90" t="n">
        <v>1.125</v>
      </c>
      <c r="D40" s="1" t="n">
        <v>2599</v>
      </c>
      <c r="E40" s="1" t="n">
        <v>2287</v>
      </c>
      <c r="F40" s="1" t="n">
        <v>1911</v>
      </c>
      <c r="G40" s="1" t="n">
        <v>1471</v>
      </c>
      <c r="H40" s="108" t="n">
        <f aca="false">I40*(1+$H$15)</f>
        <v>1244.583</v>
      </c>
      <c r="I40" s="1" t="n">
        <v>1098</v>
      </c>
      <c r="K40" s="1" t="n">
        <v>1.125</v>
      </c>
      <c r="L40" s="1" t="n">
        <v>2200</v>
      </c>
      <c r="M40" s="1" t="n">
        <v>2186</v>
      </c>
      <c r="N40" s="1" t="n">
        <v>2339</v>
      </c>
      <c r="AC40" s="91" t="s">
        <v>152</v>
      </c>
    </row>
    <row r="41" customFormat="false" ht="12.8" hidden="false" customHeight="false" outlineLevel="0" collapsed="false">
      <c r="B41" s="1" t="n">
        <v>20.5</v>
      </c>
      <c r="C41" s="90" t="n">
        <v>1.15</v>
      </c>
      <c r="D41" s="1" t="n">
        <v>2757</v>
      </c>
      <c r="E41" s="1" t="n">
        <v>2390</v>
      </c>
      <c r="F41" s="1" t="n">
        <v>1981</v>
      </c>
      <c r="G41" s="1" t="n">
        <v>1516</v>
      </c>
      <c r="H41" s="108" t="n">
        <f aca="false">I41*(1+$H$15)</f>
        <v>1284.2555</v>
      </c>
      <c r="I41" s="1" t="n">
        <v>1133</v>
      </c>
      <c r="K41" s="1" t="n">
        <v>1.15</v>
      </c>
      <c r="L41" s="1" t="n">
        <v>2200</v>
      </c>
      <c r="M41" s="1" t="n">
        <v>2284</v>
      </c>
      <c r="N41" s="1" t="n">
        <v>2444</v>
      </c>
      <c r="AC41" s="91" t="s">
        <v>152</v>
      </c>
    </row>
    <row r="42" customFormat="false" ht="12.8" hidden="false" customHeight="false" outlineLevel="0" collapsed="false">
      <c r="B42" s="1" t="n">
        <v>21</v>
      </c>
      <c r="C42" s="90" t="n">
        <v>1.175</v>
      </c>
      <c r="D42" s="1" t="n">
        <v>2841</v>
      </c>
      <c r="E42" s="1" t="n">
        <v>2473</v>
      </c>
      <c r="F42" s="1" t="n">
        <v>2050</v>
      </c>
      <c r="G42" s="1" t="n">
        <v>1561</v>
      </c>
      <c r="H42" s="108" t="n">
        <f aca="false">I42*(1+$H$15)</f>
        <v>1325.0615</v>
      </c>
      <c r="I42" s="1" t="n">
        <v>1169</v>
      </c>
      <c r="K42" s="1" t="n">
        <v>1.175</v>
      </c>
      <c r="L42" s="1" t="n">
        <v>2180</v>
      </c>
      <c r="M42" s="1" t="n">
        <v>2363</v>
      </c>
      <c r="N42" s="1" t="n">
        <v>2528</v>
      </c>
      <c r="AC42" s="91" t="s">
        <v>152</v>
      </c>
    </row>
    <row r="43" customFormat="false" ht="12.8" hidden="false" customHeight="false" outlineLevel="0" collapsed="false">
      <c r="B43" s="1" t="n">
        <v>21.5</v>
      </c>
      <c r="C43" s="90" t="n">
        <v>1.2</v>
      </c>
      <c r="D43" s="1" t="n">
        <v>2946</v>
      </c>
      <c r="E43" s="1" t="n">
        <v>2579</v>
      </c>
      <c r="F43" s="1" t="n">
        <v>2121</v>
      </c>
      <c r="G43" s="1" t="n">
        <v>1606</v>
      </c>
      <c r="H43" s="108" t="n">
        <f aca="false">I43*(1+$H$15)</f>
        <v>1365.8675</v>
      </c>
      <c r="I43" s="1" t="n">
        <v>1205</v>
      </c>
      <c r="K43" s="1" t="n">
        <v>1.2</v>
      </c>
      <c r="L43" s="1" t="n">
        <v>2180</v>
      </c>
      <c r="M43" s="1" t="n">
        <v>2464</v>
      </c>
      <c r="N43" s="1" t="n">
        <v>2636</v>
      </c>
      <c r="AC43" s="91" t="s">
        <v>152</v>
      </c>
    </row>
    <row r="44" customFormat="false" ht="12.8" hidden="false" customHeight="false" outlineLevel="0" collapsed="false">
      <c r="B44" s="1" t="n">
        <v>22</v>
      </c>
      <c r="C44" s="90" t="n">
        <v>1.225</v>
      </c>
      <c r="E44" s="1" t="n">
        <v>2677</v>
      </c>
      <c r="F44" s="1" t="n">
        <v>2191</v>
      </c>
      <c r="G44" s="1" t="n">
        <v>1650</v>
      </c>
      <c r="H44" s="108" t="n">
        <f aca="false">I44*(1+$H$15)</f>
        <v>1405.54</v>
      </c>
      <c r="I44" s="1" t="n">
        <v>1240</v>
      </c>
      <c r="K44" s="1" t="n">
        <v>1.225</v>
      </c>
      <c r="L44" s="1" t="n">
        <v>2160</v>
      </c>
      <c r="M44" s="1" t="n">
        <v>2544</v>
      </c>
      <c r="N44" s="1" t="n">
        <v>2722</v>
      </c>
      <c r="AC44" s="91" t="s">
        <v>152</v>
      </c>
    </row>
    <row r="45" customFormat="false" ht="12.8" hidden="false" customHeight="false" outlineLevel="0" collapsed="false">
      <c r="B45" s="1" t="n">
        <v>22.5</v>
      </c>
      <c r="C45" s="90" t="n">
        <v>1.25</v>
      </c>
      <c r="E45" s="1" t="n">
        <v>2775</v>
      </c>
      <c r="F45" s="1" t="n">
        <v>2262</v>
      </c>
      <c r="G45" s="1" t="n">
        <v>1694</v>
      </c>
      <c r="H45" s="108" t="n">
        <f aca="false">I45*(1+$H$15)</f>
        <v>1445.2125</v>
      </c>
      <c r="I45" s="1" t="n">
        <v>1275</v>
      </c>
      <c r="K45" s="1" t="n">
        <v>1.25</v>
      </c>
      <c r="L45" s="1" t="n">
        <v>2160</v>
      </c>
      <c r="M45" s="1" t="n">
        <v>2649</v>
      </c>
      <c r="N45" s="1" t="n">
        <v>2834</v>
      </c>
      <c r="AC45" s="91" t="s">
        <v>152</v>
      </c>
    </row>
    <row r="46" customFormat="false" ht="12.8" hidden="false" customHeight="false" outlineLevel="0" collapsed="false">
      <c r="B46" s="1" t="n">
        <v>23</v>
      </c>
      <c r="C46" s="90" t="n">
        <v>1.3</v>
      </c>
      <c r="E46" s="1" t="n">
        <v>2982</v>
      </c>
      <c r="F46" s="1" t="n">
        <v>2425</v>
      </c>
      <c r="G46" s="1" t="n">
        <v>1805</v>
      </c>
      <c r="H46" s="108" t="n">
        <f aca="false">I46*(1+$H$15)</f>
        <v>1543.827</v>
      </c>
      <c r="I46" s="1" t="n">
        <v>1362</v>
      </c>
      <c r="K46" s="1" t="n">
        <v>1.3</v>
      </c>
      <c r="L46" s="1" t="n">
        <v>2110</v>
      </c>
      <c r="M46" s="1" t="n">
        <v>2799</v>
      </c>
      <c r="N46" s="1" t="n">
        <v>2995</v>
      </c>
      <c r="AC46" s="91" t="s">
        <v>152</v>
      </c>
    </row>
    <row r="47" customFormat="false" ht="12.8" hidden="false" customHeight="false" outlineLevel="0" collapsed="false">
      <c r="B47" s="1" t="n">
        <v>23.5</v>
      </c>
      <c r="C47" s="90" t="n">
        <v>1.35</v>
      </c>
      <c r="E47" s="1" t="n">
        <v>3195</v>
      </c>
      <c r="F47" s="1" t="n">
        <v>2592</v>
      </c>
      <c r="G47" s="1" t="n">
        <v>1918</v>
      </c>
      <c r="H47" s="108" t="n">
        <f aca="false">I47*(1+$H$15)</f>
        <v>1642.4415</v>
      </c>
      <c r="I47" s="1" t="n">
        <v>1449</v>
      </c>
      <c r="K47" s="1" t="n">
        <v>1.35</v>
      </c>
      <c r="L47" s="1" t="n">
        <v>2110</v>
      </c>
      <c r="M47" s="1" t="n">
        <v>3019</v>
      </c>
      <c r="N47" s="1" t="n">
        <v>3230</v>
      </c>
      <c r="AC47" s="91" t="s">
        <v>152</v>
      </c>
    </row>
    <row r="48" customFormat="false" ht="12.8" hidden="false" customHeight="false" outlineLevel="0" collapsed="false">
      <c r="B48" s="1" t="n">
        <v>24</v>
      </c>
      <c r="C48" s="90" t="n">
        <v>1.4</v>
      </c>
      <c r="E48" s="1" t="n">
        <v>3413</v>
      </c>
      <c r="F48" s="1" t="n">
        <v>2763</v>
      </c>
      <c r="G48" s="1" t="n">
        <v>2032</v>
      </c>
      <c r="H48" s="108" t="n">
        <f aca="false">I48*(1+$H$15)</f>
        <v>1744.4565</v>
      </c>
      <c r="I48" s="1" t="n">
        <v>1539</v>
      </c>
      <c r="K48" s="1" t="n">
        <v>1.4</v>
      </c>
      <c r="L48" s="1" t="n">
        <v>2060</v>
      </c>
      <c r="M48" s="1" t="n">
        <v>3170</v>
      </c>
      <c r="N48" s="1" t="n">
        <v>3392</v>
      </c>
      <c r="AC48" s="91" t="s">
        <v>152</v>
      </c>
    </row>
    <row r="49" customFormat="false" ht="12.8" hidden="false" customHeight="false" outlineLevel="0" collapsed="false">
      <c r="B49" s="1" t="n">
        <v>24.5</v>
      </c>
      <c r="C49" s="90" t="n">
        <v>1.45</v>
      </c>
      <c r="E49" s="1" t="n">
        <v>3645</v>
      </c>
      <c r="F49" s="1" t="n">
        <v>2938</v>
      </c>
      <c r="G49" s="1" t="n">
        <v>2147</v>
      </c>
      <c r="K49" s="1" t="n">
        <v>1.45</v>
      </c>
      <c r="L49" s="1" t="n">
        <v>2060</v>
      </c>
      <c r="M49" s="1" t="n">
        <v>3400</v>
      </c>
      <c r="N49" s="1" t="n">
        <v>3638</v>
      </c>
      <c r="AC49" s="91" t="s">
        <v>152</v>
      </c>
    </row>
    <row r="50" customFormat="false" ht="12.8" hidden="false" customHeight="false" outlineLevel="0" collapsed="false">
      <c r="B50" s="1" t="n">
        <v>25</v>
      </c>
      <c r="C50" s="90" t="n">
        <v>1.5</v>
      </c>
      <c r="E50" s="1" t="n">
        <v>3874</v>
      </c>
      <c r="F50" s="1" t="n">
        <v>3115</v>
      </c>
      <c r="G50" s="1" t="n">
        <v>2262</v>
      </c>
      <c r="K50" s="1" t="n">
        <v>1.5</v>
      </c>
      <c r="L50" s="1" t="n">
        <v>2000</v>
      </c>
      <c r="M50" s="1" t="n">
        <v>3534</v>
      </c>
      <c r="N50" s="1" t="n">
        <v>3746</v>
      </c>
      <c r="AC50" s="91" t="s">
        <v>152</v>
      </c>
    </row>
    <row r="51" customFormat="false" ht="12.8" hidden="false" customHeight="false" outlineLevel="0" collapsed="false">
      <c r="B51" s="1" t="n">
        <v>25.5</v>
      </c>
      <c r="C51" s="90" t="n">
        <v>1.55</v>
      </c>
      <c r="E51" s="1" t="n">
        <v>4091</v>
      </c>
      <c r="F51" s="1" t="n">
        <v>3296</v>
      </c>
      <c r="G51" s="1" t="n">
        <v>2378</v>
      </c>
      <c r="K51" s="1" t="n">
        <v>1.55</v>
      </c>
      <c r="L51" s="1" t="n">
        <v>2000</v>
      </c>
      <c r="M51" s="1" t="n">
        <v>3774</v>
      </c>
      <c r="N51" s="1" t="n">
        <v>4000</v>
      </c>
      <c r="AC51" s="91" t="s">
        <v>152</v>
      </c>
    </row>
    <row r="52" customFormat="false" ht="12.8" hidden="false" customHeight="false" outlineLevel="0" collapsed="false">
      <c r="B52" s="1" t="n">
        <v>26</v>
      </c>
      <c r="C52" s="90" t="n">
        <v>1.6</v>
      </c>
      <c r="E52" s="1" t="n">
        <v>4339</v>
      </c>
      <c r="F52" s="1" t="n">
        <v>3480</v>
      </c>
      <c r="G52" s="1" t="n">
        <v>2493</v>
      </c>
      <c r="K52" s="1" t="n">
        <v>1.6</v>
      </c>
      <c r="L52" s="1" t="n">
        <v>1980</v>
      </c>
      <c r="M52" s="1" t="n">
        <v>3982</v>
      </c>
      <c r="N52" s="1" t="n">
        <v>4221</v>
      </c>
      <c r="AC52" s="91" t="s">
        <v>152</v>
      </c>
    </row>
    <row r="53" customFormat="false" ht="12.8" hidden="false" customHeight="false" outlineLevel="0" collapsed="false">
      <c r="B53" s="91" t="s">
        <v>152</v>
      </c>
      <c r="C53" s="91" t="s">
        <v>152</v>
      </c>
      <c r="D53" s="91" t="s">
        <v>152</v>
      </c>
      <c r="E53" s="91" t="s">
        <v>152</v>
      </c>
      <c r="F53" s="91" t="s">
        <v>152</v>
      </c>
      <c r="G53" s="91" t="s">
        <v>152</v>
      </c>
      <c r="H53" s="91" t="s">
        <v>152</v>
      </c>
      <c r="I53" s="91"/>
      <c r="J53" s="91" t="s">
        <v>152</v>
      </c>
      <c r="K53" s="91" t="s">
        <v>152</v>
      </c>
      <c r="L53" s="91" t="s">
        <v>152</v>
      </c>
      <c r="M53" s="91" t="s">
        <v>152</v>
      </c>
      <c r="N53" s="91" t="s">
        <v>152</v>
      </c>
      <c r="O53" s="91" t="s">
        <v>152</v>
      </c>
      <c r="P53" s="91" t="s">
        <v>152</v>
      </c>
      <c r="Q53" s="91" t="s">
        <v>152</v>
      </c>
      <c r="R53" s="91" t="s">
        <v>152</v>
      </c>
      <c r="S53" s="91" t="s">
        <v>152</v>
      </c>
      <c r="T53" s="91" t="s">
        <v>152</v>
      </c>
      <c r="U53" s="91" t="s">
        <v>152</v>
      </c>
      <c r="V53" s="91" t="s">
        <v>152</v>
      </c>
      <c r="W53" s="91" t="s">
        <v>152</v>
      </c>
      <c r="X53" s="91" t="s">
        <v>152</v>
      </c>
      <c r="Y53" s="91" t="s">
        <v>152</v>
      </c>
      <c r="Z53" s="91" t="s">
        <v>152</v>
      </c>
      <c r="AA53" s="91" t="s">
        <v>152</v>
      </c>
      <c r="AB53" s="91" t="s">
        <v>152</v>
      </c>
      <c r="AC53" s="91" t="s">
        <v>152</v>
      </c>
    </row>
    <row r="360" customFormat="false" ht="12.8" hidden="false" customHeight="false" outlineLevel="0" collapsed="false">
      <c r="B360" s="1" t="s">
        <v>161</v>
      </c>
    </row>
    <row r="361" customFormat="false" ht="12.8" hidden="false" customHeight="false" outlineLevel="0" collapsed="false">
      <c r="B361" s="1" t="s">
        <v>162</v>
      </c>
    </row>
    <row r="362" customFormat="false" ht="12.8" hidden="false" customHeight="false" outlineLevel="0" collapsed="false">
      <c r="B362" s="1" t="n">
        <v>5</v>
      </c>
    </row>
    <row r="363" customFormat="false" ht="12.8" hidden="false" customHeight="false" outlineLevel="0" collapsed="false">
      <c r="B363" s="1" t="n">
        <v>5.5</v>
      </c>
    </row>
    <row r="364" customFormat="false" ht="12.8" hidden="false" customHeight="false" outlineLevel="0" collapsed="false">
      <c r="B364" s="1" t="n">
        <v>6</v>
      </c>
    </row>
    <row r="365" customFormat="false" ht="12.8" hidden="false" customHeight="false" outlineLevel="0" collapsed="false">
      <c r="B365" s="1" t="n">
        <v>6.5</v>
      </c>
    </row>
    <row r="366" customFormat="false" ht="12.8" hidden="false" customHeight="false" outlineLevel="0" collapsed="false">
      <c r="B366" s="1" t="n">
        <v>7</v>
      </c>
    </row>
    <row r="367" customFormat="false" ht="12.8" hidden="false" customHeight="false" outlineLevel="0" collapsed="false">
      <c r="B367" s="1" t="n">
        <v>8</v>
      </c>
    </row>
    <row r="368" customFormat="false" ht="12.8" hidden="false" customHeight="false" outlineLevel="0" collapsed="false">
      <c r="B368" s="1" t="n">
        <v>8.5</v>
      </c>
    </row>
    <row r="369" customFormat="false" ht="12.8" hidden="false" customHeight="false" outlineLevel="0" collapsed="false">
      <c r="B369" s="1" t="n">
        <v>9</v>
      </c>
    </row>
    <row r="370" customFormat="false" ht="12.8" hidden="false" customHeight="false" outlineLevel="0" collapsed="false">
      <c r="B370" s="1" t="n">
        <v>9.5</v>
      </c>
    </row>
    <row r="371" customFormat="false" ht="12.8" hidden="false" customHeight="false" outlineLevel="0" collapsed="false">
      <c r="B371" s="1" t="n">
        <v>10</v>
      </c>
    </row>
    <row r="372" customFormat="false" ht="12.8" hidden="false" customHeight="false" outlineLevel="0" collapsed="false">
      <c r="B372" s="1" t="n">
        <v>10.5</v>
      </c>
    </row>
    <row r="373" customFormat="false" ht="12.8" hidden="false" customHeight="false" outlineLevel="0" collapsed="false">
      <c r="B373" s="1" t="n">
        <v>11</v>
      </c>
    </row>
    <row r="374" customFormat="false" ht="12.8" hidden="false" customHeight="false" outlineLevel="0" collapsed="false">
      <c r="B374" s="1" t="n">
        <v>11.5</v>
      </c>
    </row>
    <row r="375" customFormat="false" ht="12.8" hidden="false" customHeight="false" outlineLevel="0" collapsed="false">
      <c r="B375" s="1" t="n">
        <v>12</v>
      </c>
    </row>
    <row r="376" customFormat="false" ht="12.8" hidden="false" customHeight="false" outlineLevel="0" collapsed="false">
      <c r="B376" s="1" t="n">
        <v>12.5</v>
      </c>
    </row>
    <row r="377" customFormat="false" ht="12.8" hidden="false" customHeight="false" outlineLevel="0" collapsed="false">
      <c r="B377" s="1" t="n">
        <v>13</v>
      </c>
    </row>
    <row r="378" customFormat="false" ht="12.8" hidden="false" customHeight="false" outlineLevel="0" collapsed="false">
      <c r="B378" s="1" t="n">
        <v>13.5</v>
      </c>
    </row>
    <row r="379" customFormat="false" ht="12.8" hidden="false" customHeight="false" outlineLevel="0" collapsed="false">
      <c r="B379" s="1" t="n">
        <v>14</v>
      </c>
    </row>
    <row r="380" customFormat="false" ht="12.8" hidden="false" customHeight="false" outlineLevel="0" collapsed="false">
      <c r="B380" s="1" t="n">
        <v>14.5</v>
      </c>
    </row>
    <row r="381" customFormat="false" ht="12.8" hidden="false" customHeight="false" outlineLevel="0" collapsed="false">
      <c r="B381" s="1" t="n">
        <v>15</v>
      </c>
    </row>
    <row r="382" customFormat="false" ht="12.8" hidden="false" customHeight="false" outlineLevel="0" collapsed="false">
      <c r="B382" s="1" t="n">
        <v>15.5</v>
      </c>
    </row>
    <row r="383" customFormat="false" ht="12.8" hidden="false" customHeight="false" outlineLevel="0" collapsed="false">
      <c r="B383" s="1" t="n">
        <v>16</v>
      </c>
    </row>
    <row r="384" customFormat="false" ht="12.8" hidden="false" customHeight="false" outlineLevel="0" collapsed="false">
      <c r="B384" s="1" t="n">
        <v>16.5</v>
      </c>
    </row>
    <row r="385" customFormat="false" ht="12.8" hidden="false" customHeight="false" outlineLevel="0" collapsed="false">
      <c r="B385" s="1" t="n">
        <v>17</v>
      </c>
    </row>
    <row r="386" customFormat="false" ht="12.8" hidden="false" customHeight="false" outlineLevel="0" collapsed="false">
      <c r="B386" s="1" t="n">
        <v>17.5</v>
      </c>
    </row>
    <row r="387" customFormat="false" ht="12.8" hidden="false" customHeight="false" outlineLevel="0" collapsed="false">
      <c r="B387" s="1" t="n">
        <v>18</v>
      </c>
    </row>
    <row r="388" customFormat="false" ht="12.8" hidden="false" customHeight="false" outlineLevel="0" collapsed="false">
      <c r="B388" s="1" t="n">
        <v>18.5</v>
      </c>
    </row>
    <row r="389" customFormat="false" ht="12.8" hidden="false" customHeight="false" outlineLevel="0" collapsed="false">
      <c r="B389" s="1" t="n">
        <v>19</v>
      </c>
    </row>
    <row r="390" customFormat="false" ht="12.8" hidden="false" customHeight="false" outlineLevel="0" collapsed="false">
      <c r="B390" s="1" t="n">
        <v>19.5</v>
      </c>
    </row>
    <row r="391" customFormat="false" ht="12.8" hidden="false" customHeight="false" outlineLevel="0" collapsed="false">
      <c r="B391" s="1" t="n">
        <v>20</v>
      </c>
    </row>
    <row r="392" customFormat="false" ht="12.8" hidden="false" customHeight="false" outlineLevel="0" collapsed="false">
      <c r="B392" s="1" t="n">
        <v>20.5</v>
      </c>
    </row>
    <row r="393" customFormat="false" ht="12.8" hidden="false" customHeight="false" outlineLevel="0" collapsed="false">
      <c r="B393" s="1" t="n">
        <v>21</v>
      </c>
    </row>
    <row r="394" customFormat="false" ht="12.8" hidden="false" customHeight="false" outlineLevel="0" collapsed="false">
      <c r="B394" s="1" t="n">
        <v>21.5</v>
      </c>
    </row>
    <row r="395" customFormat="false" ht="12.8" hidden="false" customHeight="false" outlineLevel="0" collapsed="false">
      <c r="B395" s="1" t="n">
        <v>22</v>
      </c>
    </row>
    <row r="396" customFormat="false" ht="12.8" hidden="false" customHeight="false" outlineLevel="0" collapsed="false">
      <c r="B396" s="1" t="n">
        <v>22.5</v>
      </c>
    </row>
    <row r="397" customFormat="false" ht="12.8" hidden="false" customHeight="false" outlineLevel="0" collapsed="false">
      <c r="B397" s="1" t="n">
        <v>23</v>
      </c>
    </row>
    <row r="398" customFormat="false" ht="12.8" hidden="false" customHeight="false" outlineLevel="0" collapsed="false">
      <c r="B398" s="1" t="n">
        <v>23.5</v>
      </c>
    </row>
    <row r="399" customFormat="false" ht="12.8" hidden="false" customHeight="false" outlineLevel="0" collapsed="false">
      <c r="B399" s="1" t="n">
        <v>240.4</v>
      </c>
    </row>
    <row r="400" customFormat="false" ht="12.8" hidden="false" customHeight="false" outlineLevel="0" collapsed="false">
      <c r="B400" s="1" t="n">
        <v>0.425</v>
      </c>
    </row>
    <row r="401" customFormat="false" ht="12.8" hidden="false" customHeight="false" outlineLevel="0" collapsed="false">
      <c r="B401" s="1" t="n">
        <v>0.45</v>
      </c>
    </row>
    <row r="402" customFormat="false" ht="12.8" hidden="false" customHeight="false" outlineLevel="0" collapsed="false">
      <c r="B402" s="1" t="n">
        <v>0.475</v>
      </c>
    </row>
    <row r="403" customFormat="false" ht="12.8" hidden="false" customHeight="false" outlineLevel="0" collapsed="false">
      <c r="B403" s="1" t="n">
        <v>0.5</v>
      </c>
    </row>
    <row r="404" customFormat="false" ht="12.8" hidden="false" customHeight="false" outlineLevel="0" collapsed="false">
      <c r="B404" s="1" t="n">
        <v>0.525</v>
      </c>
    </row>
    <row r="405" customFormat="false" ht="12.8" hidden="false" customHeight="false" outlineLevel="0" collapsed="false">
      <c r="B405" s="1" t="n">
        <v>0.55</v>
      </c>
    </row>
    <row r="406" customFormat="false" ht="12.8" hidden="false" customHeight="false" outlineLevel="0" collapsed="false">
      <c r="B406" s="1" t="n">
        <v>0.575</v>
      </c>
    </row>
    <row r="407" customFormat="false" ht="12.8" hidden="false" customHeight="false" outlineLevel="0" collapsed="false">
      <c r="B407" s="1" t="n">
        <v>0.6</v>
      </c>
    </row>
    <row r="408" customFormat="false" ht="12.8" hidden="false" customHeight="false" outlineLevel="0" collapsed="false">
      <c r="B408" s="1" t="n">
        <v>0.625</v>
      </c>
    </row>
    <row r="409" customFormat="false" ht="12.8" hidden="false" customHeight="false" outlineLevel="0" collapsed="false">
      <c r="B409" s="1" t="n">
        <v>0.65</v>
      </c>
    </row>
    <row r="410" customFormat="false" ht="12.8" hidden="false" customHeight="false" outlineLevel="0" collapsed="false">
      <c r="B410" s="1" t="n">
        <v>0.675</v>
      </c>
    </row>
    <row r="411" customFormat="false" ht="12.8" hidden="false" customHeight="false" outlineLevel="0" collapsed="false">
      <c r="B411" s="1" t="n">
        <v>0.7</v>
      </c>
    </row>
    <row r="412" customFormat="false" ht="12.8" hidden="false" customHeight="false" outlineLevel="0" collapsed="false">
      <c r="B412" s="1" t="n">
        <v>0.725</v>
      </c>
    </row>
    <row r="413" customFormat="false" ht="12.8" hidden="false" customHeight="false" outlineLevel="0" collapsed="false">
      <c r="B413" s="1" t="n">
        <v>0.75</v>
      </c>
    </row>
    <row r="414" customFormat="false" ht="12.8" hidden="false" customHeight="false" outlineLevel="0" collapsed="false">
      <c r="B414" s="1" t="n">
        <v>0.775</v>
      </c>
    </row>
    <row r="415" customFormat="false" ht="12.8" hidden="false" customHeight="false" outlineLevel="0" collapsed="false">
      <c r="B415" s="1" t="n">
        <v>0.8</v>
      </c>
    </row>
    <row r="416" customFormat="false" ht="12.8" hidden="false" customHeight="false" outlineLevel="0" collapsed="false">
      <c r="B416" s="1" t="n">
        <v>0.825</v>
      </c>
    </row>
    <row r="417" customFormat="false" ht="12.8" hidden="false" customHeight="false" outlineLevel="0" collapsed="false">
      <c r="B417" s="1" t="n">
        <v>0.85</v>
      </c>
    </row>
    <row r="418" customFormat="false" ht="12.8" hidden="false" customHeight="false" outlineLevel="0" collapsed="false">
      <c r="B418" s="1" t="n">
        <v>0.875</v>
      </c>
    </row>
    <row r="419" customFormat="false" ht="12.8" hidden="false" customHeight="false" outlineLevel="0" collapsed="false">
      <c r="B419" s="1" t="n">
        <v>0.9</v>
      </c>
    </row>
    <row r="420" customFormat="false" ht="12.8" hidden="false" customHeight="false" outlineLevel="0" collapsed="false">
      <c r="B420" s="1" t="n">
        <v>0.925</v>
      </c>
    </row>
    <row r="421" customFormat="false" ht="12.8" hidden="false" customHeight="false" outlineLevel="0" collapsed="false">
      <c r="B421" s="1" t="n">
        <v>0.95</v>
      </c>
    </row>
    <row r="422" customFormat="false" ht="12.8" hidden="false" customHeight="false" outlineLevel="0" collapsed="false">
      <c r="B422" s="1" t="n">
        <v>0.975</v>
      </c>
    </row>
    <row r="423" customFormat="false" ht="12.8" hidden="false" customHeight="false" outlineLevel="0" collapsed="false">
      <c r="B423" s="1" t="n">
        <v>1</v>
      </c>
    </row>
    <row r="424" customFormat="false" ht="12.8" hidden="false" customHeight="false" outlineLevel="0" collapsed="false">
      <c r="B424" s="1" t="n">
        <v>1.025</v>
      </c>
    </row>
    <row r="425" customFormat="false" ht="12.8" hidden="false" customHeight="false" outlineLevel="0" collapsed="false">
      <c r="B425" s="1" t="n">
        <v>1.05</v>
      </c>
    </row>
    <row r="426" customFormat="false" ht="12.8" hidden="false" customHeight="false" outlineLevel="0" collapsed="false">
      <c r="B426" s="1" t="n">
        <v>1.075</v>
      </c>
    </row>
    <row r="427" customFormat="false" ht="12.8" hidden="false" customHeight="false" outlineLevel="0" collapsed="false">
      <c r="B427" s="1" t="n">
        <v>1.1</v>
      </c>
    </row>
    <row r="428" customFormat="false" ht="12.8" hidden="false" customHeight="false" outlineLevel="0" collapsed="false">
      <c r="B428" s="1" t="n">
        <v>1.125</v>
      </c>
    </row>
    <row r="429" customFormat="false" ht="12.8" hidden="false" customHeight="false" outlineLevel="0" collapsed="false">
      <c r="B429" s="1" t="n">
        <v>1.15</v>
      </c>
    </row>
    <row r="430" customFormat="false" ht="12.8" hidden="false" customHeight="false" outlineLevel="0" collapsed="false">
      <c r="B430" s="1" t="n">
        <v>1.175</v>
      </c>
    </row>
    <row r="431" customFormat="false" ht="12.8" hidden="false" customHeight="false" outlineLevel="0" collapsed="false">
      <c r="B431" s="1" t="n">
        <v>1.2</v>
      </c>
    </row>
    <row r="432" customFormat="false" ht="12.8" hidden="false" customHeight="false" outlineLevel="0" collapsed="false">
      <c r="B432" s="1" t="n">
        <v>1.225</v>
      </c>
    </row>
    <row r="433" customFormat="false" ht="12.8" hidden="false" customHeight="false" outlineLevel="0" collapsed="false">
      <c r="B433" s="1" t="n">
        <v>1.25</v>
      </c>
    </row>
    <row r="434" customFormat="false" ht="12.8" hidden="false" customHeight="false" outlineLevel="0" collapsed="false">
      <c r="B434" s="1" t="n">
        <v>1.3</v>
      </c>
    </row>
    <row r="435" customFormat="false" ht="12.8" hidden="false" customHeight="false" outlineLevel="0" collapsed="false">
      <c r="B435" s="1" t="n">
        <v>1.35</v>
      </c>
    </row>
    <row r="436" customFormat="false" ht="12.8" hidden="false" customHeight="false" outlineLevel="0" collapsed="false">
      <c r="B436" s="1" t="n">
        <v>1.4186</v>
      </c>
    </row>
    <row r="437" customFormat="false" ht="12.8" hidden="false" customHeight="false" outlineLevel="0" collapsed="false">
      <c r="B437" s="1" t="n">
        <v>208</v>
      </c>
    </row>
    <row r="438" customFormat="false" ht="12.8" hidden="false" customHeight="false" outlineLevel="0" collapsed="false">
      <c r="B438" s="1" t="n">
        <v>232</v>
      </c>
    </row>
    <row r="439" customFormat="false" ht="12.8" hidden="false" customHeight="false" outlineLevel="0" collapsed="false">
      <c r="B439" s="1" t="n">
        <v>255</v>
      </c>
    </row>
    <row r="440" customFormat="false" ht="12.8" hidden="false" customHeight="false" outlineLevel="0" collapsed="false">
      <c r="B440" s="1" t="n">
        <v>280</v>
      </c>
    </row>
    <row r="441" customFormat="false" ht="12.8" hidden="false" customHeight="false" outlineLevel="0" collapsed="false">
      <c r="B441" s="1" t="n">
        <v>307</v>
      </c>
    </row>
    <row r="442" customFormat="false" ht="12.8" hidden="false" customHeight="false" outlineLevel="0" collapsed="false">
      <c r="B442" s="1" t="n">
        <v>333</v>
      </c>
    </row>
    <row r="443" customFormat="false" ht="12.8" hidden="false" customHeight="false" outlineLevel="0" collapsed="false">
      <c r="B443" s="1" t="n">
        <v>361</v>
      </c>
    </row>
    <row r="444" customFormat="false" ht="12.8" hidden="false" customHeight="false" outlineLevel="0" collapsed="false">
      <c r="B444" s="1" t="n">
        <v>389</v>
      </c>
    </row>
    <row r="445" customFormat="false" ht="12.8" hidden="false" customHeight="false" outlineLevel="0" collapsed="false">
      <c r="B445" s="1" t="n">
        <v>419</v>
      </c>
    </row>
    <row r="446" customFormat="false" ht="12.8" hidden="false" customHeight="false" outlineLevel="0" collapsed="false">
      <c r="B446" s="1" t="n">
        <v>448</v>
      </c>
    </row>
    <row r="447" customFormat="false" ht="12.8" hidden="false" customHeight="false" outlineLevel="0" collapsed="false">
      <c r="B447" s="1" t="n">
        <v>479</v>
      </c>
    </row>
    <row r="448" customFormat="false" ht="12.8" hidden="false" customHeight="false" outlineLevel="0" collapsed="false">
      <c r="B448" s="1" t="n">
        <v>509</v>
      </c>
    </row>
    <row r="449" customFormat="false" ht="12.8" hidden="false" customHeight="false" outlineLevel="0" collapsed="false">
      <c r="B449" s="1" t="n">
        <v>541</v>
      </c>
    </row>
    <row r="450" customFormat="false" ht="12.8" hidden="false" customHeight="false" outlineLevel="0" collapsed="false">
      <c r="B450" s="1" t="n">
        <v>574</v>
      </c>
    </row>
    <row r="451" customFormat="false" ht="12.8" hidden="false" customHeight="false" outlineLevel="0" collapsed="false">
      <c r="B451" s="1" t="n">
        <v>607</v>
      </c>
    </row>
    <row r="452" customFormat="false" ht="12.8" hidden="false" customHeight="false" outlineLevel="0" collapsed="false">
      <c r="B452" s="1" t="n">
        <v>640</v>
      </c>
    </row>
    <row r="453" customFormat="false" ht="12.8" hidden="false" customHeight="false" outlineLevel="0" collapsed="false">
      <c r="B453" s="1" t="n">
        <v>674</v>
      </c>
    </row>
    <row r="454" customFormat="false" ht="12.8" hidden="false" customHeight="false" outlineLevel="0" collapsed="false">
      <c r="B454" s="1" t="n">
        <v>707</v>
      </c>
    </row>
    <row r="455" customFormat="false" ht="12.8" hidden="false" customHeight="false" outlineLevel="0" collapsed="false">
      <c r="B455" s="1" t="n">
        <v>742</v>
      </c>
    </row>
    <row r="456" customFormat="false" ht="12.8" hidden="false" customHeight="false" outlineLevel="0" collapsed="false">
      <c r="B456" s="1" t="n">
        <v>776</v>
      </c>
    </row>
    <row r="457" customFormat="false" ht="12.8" hidden="false" customHeight="false" outlineLevel="0" collapsed="false">
      <c r="B457" s="1" t="n">
        <v>812</v>
      </c>
    </row>
    <row r="458" customFormat="false" ht="12.8" hidden="false" customHeight="false" outlineLevel="0" collapsed="false">
      <c r="B458" s="1" t="n">
        <v>847</v>
      </c>
    </row>
    <row r="459" customFormat="false" ht="12.8" hidden="false" customHeight="false" outlineLevel="0" collapsed="false">
      <c r="B459" s="1" t="n">
        <v>882</v>
      </c>
    </row>
    <row r="460" customFormat="false" ht="12.8" hidden="false" customHeight="false" outlineLevel="0" collapsed="false">
      <c r="B460" s="1" t="n">
        <v>918</v>
      </c>
    </row>
    <row r="461" customFormat="false" ht="12.8" hidden="false" customHeight="false" outlineLevel="0" collapsed="false">
      <c r="B461" s="1" t="n">
        <v>954</v>
      </c>
    </row>
    <row r="462" customFormat="false" ht="12.8" hidden="false" customHeight="false" outlineLevel="0" collapsed="false">
      <c r="B462" s="1" t="n">
        <v>989</v>
      </c>
    </row>
    <row r="463" customFormat="false" ht="12.8" hidden="false" customHeight="false" outlineLevel="0" collapsed="false">
      <c r="B463" s="1" t="n">
        <v>1026</v>
      </c>
    </row>
    <row r="464" customFormat="false" ht="12.8" hidden="false" customHeight="false" outlineLevel="0" collapsed="false">
      <c r="B464" s="1" t="n">
        <v>1061</v>
      </c>
    </row>
    <row r="465" customFormat="false" ht="12.8" hidden="false" customHeight="false" outlineLevel="0" collapsed="false">
      <c r="B465" s="1" t="n">
        <v>1098</v>
      </c>
    </row>
    <row r="466" customFormat="false" ht="12.8" hidden="false" customHeight="false" outlineLevel="0" collapsed="false">
      <c r="B466" s="1" t="n">
        <v>1133</v>
      </c>
    </row>
    <row r="467" customFormat="false" ht="12.8" hidden="false" customHeight="false" outlineLevel="0" collapsed="false">
      <c r="B467" s="1" t="n">
        <v>1169</v>
      </c>
    </row>
    <row r="468" customFormat="false" ht="12.8" hidden="false" customHeight="false" outlineLevel="0" collapsed="false">
      <c r="B468" s="1" t="n">
        <v>1205</v>
      </c>
    </row>
    <row r="469" customFormat="false" ht="12.8" hidden="false" customHeight="false" outlineLevel="0" collapsed="false">
      <c r="B469" s="1" t="n">
        <v>1240</v>
      </c>
    </row>
    <row r="470" customFormat="false" ht="12.8" hidden="false" customHeight="false" outlineLevel="0" collapsed="false">
      <c r="B470" s="1" t="n">
        <v>1275</v>
      </c>
    </row>
    <row r="471" customFormat="false" ht="12.8" hidden="false" customHeight="false" outlineLevel="0" collapsed="false">
      <c r="B471" s="1" t="n">
        <v>1362</v>
      </c>
    </row>
    <row r="472" customFormat="false" ht="12.8" hidden="false" customHeight="false" outlineLevel="0" collapsed="false">
      <c r="B472" s="1" t="n">
        <v>1449</v>
      </c>
    </row>
    <row r="473" customFormat="false" ht="12.8" hidden="false" customHeight="false" outlineLevel="0" collapsed="false">
      <c r="B473" s="1" t="n">
        <v>1539</v>
      </c>
    </row>
  </sheetData>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horizontalDpi="300" verticalDpi="300" copies="1"/>
  <headerFooter differentFirst="false" differentOddEven="false">
    <oddHeader>&amp;CPlan de cordes filées et sollicitations d'un piano</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11" activeCellId="0" sqref="B11"/>
    </sheetView>
  </sheetViews>
  <sheetFormatPr defaultColWidth="11.53515625" defaultRowHeight="12.8" customHeight="true" zeroHeight="false" outlineLevelRow="0" outlineLevelCol="0"/>
  <cols>
    <col collapsed="false" customWidth="true" hidden="false" outlineLevel="0" max="1" min="1" style="1" width="1.54"/>
    <col collapsed="false" customWidth="true" hidden="false" outlineLevel="0" max="2" min="2" style="67" width="137.27"/>
  </cols>
  <sheetData>
    <row r="2" customFormat="false" ht="15" hidden="false" customHeight="false" outlineLevel="0" collapsed="false">
      <c r="B2" s="109" t="s">
        <v>163</v>
      </c>
    </row>
    <row r="3" customFormat="false" ht="24.85" hidden="false" customHeight="false" outlineLevel="0" collapsed="false">
      <c r="B3" s="109" t="s">
        <v>164</v>
      </c>
    </row>
    <row r="4" customFormat="false" ht="15" hidden="false" customHeight="false" outlineLevel="0" collapsed="false">
      <c r="B4" s="109"/>
    </row>
    <row r="5" customFormat="false" ht="24.85" hidden="false" customHeight="false" outlineLevel="0" collapsed="false">
      <c r="B5" s="109" t="s">
        <v>165</v>
      </c>
    </row>
    <row r="6" customFormat="false" ht="15" hidden="false" customHeight="false" outlineLevel="0" collapsed="false">
      <c r="B6" s="109"/>
    </row>
    <row r="7" customFormat="false" ht="24.85" hidden="false" customHeight="false" outlineLevel="0" collapsed="false">
      <c r="B7" s="109" t="s">
        <v>166</v>
      </c>
    </row>
    <row r="8" customFormat="false" ht="15" hidden="false" customHeight="false" outlineLevel="0" collapsed="false">
      <c r="B8" s="109"/>
    </row>
    <row r="9" customFormat="false" ht="24.85" hidden="false" customHeight="false" outlineLevel="0" collapsed="false">
      <c r="B9" s="109" t="s">
        <v>167</v>
      </c>
    </row>
    <row r="10" customFormat="false" ht="15" hidden="false" customHeight="false" outlineLevel="0" collapsed="false">
      <c r="B10" s="109"/>
    </row>
    <row r="11" customFormat="false" ht="49.25" hidden="false" customHeight="false" outlineLevel="0" collapsed="false">
      <c r="B11" s="109" t="s">
        <v>168</v>
      </c>
    </row>
    <row r="12" customFormat="false" ht="15" hidden="false" customHeight="false" outlineLevel="0" collapsed="false">
      <c r="B12" s="109"/>
    </row>
    <row r="13" customFormat="false" ht="37.3" hidden="false" customHeight="false" outlineLevel="0" collapsed="false">
      <c r="B13" s="109" t="s">
        <v>169</v>
      </c>
    </row>
    <row r="14" customFormat="false" ht="15" hidden="false" customHeight="false" outlineLevel="0" collapsed="false">
      <c r="B14" s="109"/>
    </row>
    <row r="15" customFormat="false" ht="15" hidden="false" customHeight="false" outlineLevel="0" collapsed="false">
      <c r="B15" s="109" t="s">
        <v>170</v>
      </c>
    </row>
  </sheetData>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horizontalDpi="300" verticalDpi="300" copies="1"/>
  <headerFooter differentFirst="false" differentOddEven="false">
    <oddHeader>&amp;CPlan de cordes filées et sollicitations d'un piano</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3101</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2024-06-20T12:41:42Z</dcterms:created>
  <dc:creator>Vincent GACOUGNOLLE</dc:creator>
  <dc:description/>
  <cp:keywords>plan cordes filées piano</cp:keywords>
  <dc:language>fr-FR</dc:language>
  <cp:lastModifiedBy>Vincent GACOUGNOLLE</cp:lastModifiedBy>
  <dcterms:modified xsi:type="dcterms:W3CDTF">2025-06-21T22:40:47Z</dcterms:modified>
  <cp:revision>341</cp:revision>
  <dc:subject/>
  <dc:title>Plan de cordes du Piano, calcul automatique des sollicitations et des diamètres des cordes basses filées, par Ing. Vincent GACOUGNOLLE</dc:title>
</cp:coreProperties>
</file>

<file path=docProps/custom.xml><?xml version="1.0" encoding="utf-8"?>
<Properties xmlns="http://schemas.openxmlformats.org/officeDocument/2006/custom-properties" xmlns:vt="http://schemas.openxmlformats.org/officeDocument/2006/docPropsVTypes"/>
</file>